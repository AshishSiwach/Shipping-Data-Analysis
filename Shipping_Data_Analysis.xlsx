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Science and Analysis\"/>
    </mc:Choice>
  </mc:AlternateContent>
  <xr:revisionPtr revIDLastSave="0" documentId="8_{8D48DCDB-57C9-4AC5-96AF-F6AF14D9DF4A}" xr6:coauthVersionLast="47" xr6:coauthVersionMax="47" xr10:uidLastSave="{00000000-0000-0000-0000-000000000000}"/>
  <bookViews>
    <workbookView xWindow="-108" yWindow="-108" windowWidth="24792" windowHeight="14856" activeTab="1" xr2:uid="{00000000-000D-0000-FFFF-FFFF00000000}"/>
  </bookViews>
  <sheets>
    <sheet name="Sheet1" sheetId="11" r:id="rId1"/>
    <sheet name="Sheet2" sheetId="12" r:id="rId2"/>
    <sheet name="Sales Dash" sheetId="10" r:id="rId3"/>
  </sheets>
  <externalReferences>
    <externalReference r:id="rId4"/>
  </externalReferences>
  <definedNames>
    <definedName name="Account_Manager">[1]Orders!$I$6:$I$1044</definedName>
    <definedName name="Address">[1]Orders!$E$6:$E$1044</definedName>
    <definedName name="City">[1]Orders!$F$6:$F$1044</definedName>
    <definedName name="Cost_Price">[1]Orders!$P$6:$P$1044</definedName>
    <definedName name="Customer_Name">[1]Orders!$D$6:$D$1044</definedName>
    <definedName name="Customer_Type">[1]Orders!$H$6:$H$1044</definedName>
    <definedName name="Discount">[1]Orders!$V$6:$V$1044</definedName>
    <definedName name="Order_Date">[1]Orders!$B$6:$B$1044</definedName>
    <definedName name="Order_Month">[1]Orders!#REF!</definedName>
    <definedName name="Order_No">[1]Orders!$A$6:$A$1044</definedName>
    <definedName name="Order_Priority">[1]Orders!$J$6:$J$1044</definedName>
    <definedName name="Order_Quantity">[1]Orders!$S$6:$S$1044</definedName>
    <definedName name="Order_Total">[1]Orders!$W$6:$W$1044</definedName>
    <definedName name="Order_Year">[1]Orders!$C$6:$C$1044</definedName>
    <definedName name="Product_Category">[1]Orders!$L$6:$L$1044</definedName>
    <definedName name="Product_Container">[1]Orders!$M$6:$M$1044</definedName>
    <definedName name="Product_Name">[1]Orders!$K$6:$K$1044</definedName>
    <definedName name="Profit_Margin">[1]Orders!$R$6:$R$1044</definedName>
    <definedName name="Retail_Price">[1]Orders!$Q$6:$Q$1044</definedName>
    <definedName name="Ship_Date">[1]Orders!$O$6:$O$1044</definedName>
    <definedName name="Ship_Mode">[1]Orders!$N$6:$N$1044</definedName>
    <definedName name="Ship_Time">[1]Orders!#REF!</definedName>
    <definedName name="Shipping_Cost">[1]Orders!$X$6:$X$1044</definedName>
    <definedName name="State">[1]Orders!$G$6:$G$1044</definedName>
    <definedName name="Sub_Total">[1]Orders!$T$6:$T$1044</definedName>
    <definedName name="Total">[1]Orders!$Y$6:$Y$1044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C12" i="10"/>
  <c r="C13" i="10"/>
  <c r="C14" i="10"/>
  <c r="C7" i="10" l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C5" i="10"/>
  <c r="B17" i="10"/>
  <c r="C6" i="10"/>
  <c r="B11" i="10" l="1"/>
  <c r="B5" i="10"/>
  <c r="B14" i="10"/>
  <c r="B6" i="10"/>
  <c r="B12" i="10"/>
  <c r="B13" i="10"/>
  <c r="B7" i="10"/>
  <c r="E42" i="10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</calcChain>
</file>

<file path=xl/sharedStrings.xml><?xml version="1.0" encoding="utf-8"?>
<sst xmlns="http://schemas.openxmlformats.org/spreadsheetml/2006/main" count="168" uniqueCount="52">
  <si>
    <t>State</t>
  </si>
  <si>
    <t>Customer Type</t>
  </si>
  <si>
    <t>VIC</t>
  </si>
  <si>
    <t>Home Office</t>
  </si>
  <si>
    <t>Connor Betts</t>
  </si>
  <si>
    <t>Low</t>
  </si>
  <si>
    <t>Technology</t>
  </si>
  <si>
    <t>Consumer</t>
  </si>
  <si>
    <t>Medium</t>
  </si>
  <si>
    <t>Office Supplies</t>
  </si>
  <si>
    <t>NSW</t>
  </si>
  <si>
    <t>Stevie Bacata</t>
  </si>
  <si>
    <t>Small Business</t>
  </si>
  <si>
    <t>Natasha Song</t>
  </si>
  <si>
    <t>High</t>
  </si>
  <si>
    <t>Corporate</t>
  </si>
  <si>
    <t>Tina Carlton</t>
  </si>
  <si>
    <t>Not Specified</t>
  </si>
  <si>
    <t>Nicholas Fernandes</t>
  </si>
  <si>
    <t>Critical</t>
  </si>
  <si>
    <t>Mihael Khan</t>
  </si>
  <si>
    <t>Leighton Forrest</t>
  </si>
  <si>
    <t>Charlie Bui</t>
  </si>
  <si>
    <t>Yvette Biti</t>
  </si>
  <si>
    <t>Samantha Chairs</t>
  </si>
  <si>
    <t>Aanya Zhang</t>
  </si>
  <si>
    <t>Radhya Staples</t>
  </si>
  <si>
    <t>Preston Senome</t>
  </si>
  <si>
    <t>Furniture</t>
  </si>
  <si>
    <t>Phoebe Gour</t>
  </si>
  <si>
    <t>Total</t>
  </si>
  <si>
    <t>Sales Dashboard</t>
  </si>
  <si>
    <t>Sales by Account Manager</t>
  </si>
  <si>
    <t xml:space="preserve"> </t>
  </si>
  <si>
    <t>Orders Quantity Over 40</t>
  </si>
  <si>
    <t>Trend</t>
  </si>
  <si>
    <t>WA</t>
  </si>
  <si>
    <t>Orders by Year and State</t>
  </si>
  <si>
    <t>Sales Total</t>
  </si>
  <si>
    <t>Number</t>
  </si>
  <si>
    <t>Row Labels</t>
  </si>
  <si>
    <t>Grand Total</t>
  </si>
  <si>
    <t>Sum of Total</t>
  </si>
  <si>
    <t>2013</t>
  </si>
  <si>
    <t>2014</t>
  </si>
  <si>
    <t>2015</t>
  </si>
  <si>
    <t>2016</t>
  </si>
  <si>
    <t>2017</t>
  </si>
  <si>
    <t>Count of Total</t>
  </si>
  <si>
    <t>Count of Account Manager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</si>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</sst>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3" borderId="0" xfId="2"/>
    <xf numFmtId="0" fontId="4" fillId="3" borderId="0" xfId="2" applyFont="1"/>
    <xf numFmtId="18" fontId="4" fillId="3" borderId="0" xfId="2" applyNumberFormat="1" applyFont="1" applyAlignment="1">
      <alignment vertical="center"/>
    </xf>
    <xf numFmtId="0" fontId="3" fillId="2" borderId="1" xfId="1"/>
    <xf numFmtId="0" fontId="2" fillId="3" borderId="0" xfId="2" applyAlignment="1">
      <alignment horizontal="right"/>
    </xf>
    <xf numFmtId="164" fontId="3" fillId="2" borderId="1" xfId="1" applyNumberFormat="1"/>
    <xf numFmtId="164" fontId="5" fillId="2" borderId="1" xfId="1" applyNumberFormat="1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Accent5" xfId="2" builtinId="45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Dash'!$C$11:$C$14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Dash'!$C$5:$C$7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Dash'!$C$38:$C$42</c15:sqref>
                  </c15:fullRef>
                </c:ext>
              </c:extLst>
              <c:f>'Sales Dash'!$C$38:$C$41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9-46E3-B746-C7B97273CF67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Dash'!$D$38:$D$42</c15:sqref>
                  </c15:fullRef>
                </c:ext>
              </c:extLst>
              <c:f>'Sales Dash'!$D$38:$D$41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Dash'!$E$38:$E$42</c15:sqref>
                  </c15:fullRef>
                </c:ext>
              </c:extLst>
              <c:f>'Sales Dash'!$E$38:$E$41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Dash'!$C$38:$C$42</c15:sqref>
                        </c15:fullRef>
                        <c15:formulaRef>
                          <c15:sqref>'Sales Dash'!$C$38:$C$41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E9-46E3-B746-C7B97273CF6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Dash'!$D$38:$D$42</c15:sqref>
                        </c15:fullRef>
                        <c15:formulaRef>
                          <c15:sqref>'Sales Dash'!$D$38:$D$41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Dash'!$E$38:$E$42</c15:sqref>
                        </c15:fullRef>
                        <c15:formulaRef>
                          <c15:sqref>'Sales Dash'!$E$38:$E$41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E9-46E3-B746-C7B97273CF67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151190</xdr:colOff>
      <xdr:row>2</xdr:row>
      <xdr:rowOff>162078</xdr:rowOff>
    </xdr:from>
    <xdr:to>
      <xdr:col>6</xdr:col>
      <xdr:colOff>1683378</xdr:colOff>
      <xdr:row>18</xdr:row>
      <xdr:rowOff>81164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04D01-A3CB-4D14-962A-F5429745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BEAADE-BD91-4536-B995-41C5CEBD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Science%20and%20Analysis\Shipping_Data.xlsx" TargetMode="External"/><Relationship Id="rId1" Type="http://schemas.openxmlformats.org/officeDocument/2006/relationships/externalLinkPath" Target="Shipping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</sheetNames>
    <sheetDataSet>
      <sheetData sheetId="0">
        <row r="6">
          <cell r="A6" t="str">
            <v>5014-1</v>
          </cell>
          <cell r="B6">
            <v>41316</v>
          </cell>
          <cell r="C6" t="str">
            <v>2013</v>
          </cell>
          <cell r="D6" t="str">
            <v>Patrick Jones</v>
          </cell>
          <cell r="E6" t="str">
            <v>221 Barkly St,St Kilda</v>
          </cell>
          <cell r="F6" t="str">
            <v>Melbourne</v>
          </cell>
          <cell r="G6" t="str">
            <v>VIC</v>
          </cell>
          <cell r="H6" t="str">
            <v>Home Office</v>
          </cell>
          <cell r="I6" t="str">
            <v>Yvette Biti</v>
          </cell>
          <cell r="J6" t="str">
            <v>High</v>
          </cell>
          <cell r="K6" t="str">
            <v>Artisan Heavy-Duty EZD  Binder With Locking Rings</v>
          </cell>
          <cell r="L6" t="str">
            <v>Office Supplies</v>
          </cell>
          <cell r="M6" t="str">
            <v>Small Box</v>
          </cell>
          <cell r="N6" t="str">
            <v>Regular Air</v>
          </cell>
          <cell r="O6">
            <v>41317</v>
          </cell>
          <cell r="P6">
            <v>3.52</v>
          </cell>
          <cell r="Q6">
            <v>5.58</v>
          </cell>
          <cell r="R6">
            <v>2.06</v>
          </cell>
          <cell r="S6">
            <v>29</v>
          </cell>
          <cell r="T6">
            <v>161.82</v>
          </cell>
          <cell r="V6">
            <v>4.8545999999999996</v>
          </cell>
          <cell r="W6">
            <v>156.96539999999999</v>
          </cell>
          <cell r="X6">
            <v>2.99</v>
          </cell>
          <cell r="Y6">
            <v>159.9554</v>
          </cell>
        </row>
        <row r="7">
          <cell r="A7" t="str">
            <v>5016-1</v>
          </cell>
          <cell r="B7">
            <v>41316</v>
          </cell>
          <cell r="C7" t="str">
            <v>2013</v>
          </cell>
          <cell r="D7" t="str">
            <v>Alex Russell</v>
          </cell>
          <cell r="E7" t="str">
            <v>101/12 Victoria Ave, Perth</v>
          </cell>
          <cell r="F7" t="str">
            <v>Melbourne</v>
          </cell>
          <cell r="G7" t="str">
            <v>VIC</v>
          </cell>
          <cell r="H7" t="str">
            <v>Home Office</v>
          </cell>
          <cell r="I7" t="str">
            <v>Connor Betts</v>
          </cell>
          <cell r="J7" t="str">
            <v>High</v>
          </cell>
          <cell r="K7" t="str">
            <v>DrawIt Pizazz Watercolor Pencils, 10-Color Set with Brush</v>
          </cell>
          <cell r="L7" t="str">
            <v>Office Supplies</v>
          </cell>
          <cell r="M7" t="str">
            <v>Wrap Bag</v>
          </cell>
          <cell r="N7" t="str">
            <v>Regular Air</v>
          </cell>
          <cell r="O7">
            <v>41317</v>
          </cell>
          <cell r="P7">
            <v>2.39</v>
          </cell>
          <cell r="Q7">
            <v>4.26</v>
          </cell>
          <cell r="R7">
            <v>1.8699999999999997</v>
          </cell>
          <cell r="S7">
            <v>29</v>
          </cell>
          <cell r="T7">
            <v>123.53999999999999</v>
          </cell>
          <cell r="V7">
            <v>3.7061999999999995</v>
          </cell>
          <cell r="W7">
            <v>119.8338</v>
          </cell>
          <cell r="X7">
            <v>1.2</v>
          </cell>
          <cell r="Y7">
            <v>121.0338</v>
          </cell>
        </row>
        <row r="8">
          <cell r="A8" t="str">
            <v>5018-1</v>
          </cell>
          <cell r="B8">
            <v>41317</v>
          </cell>
          <cell r="C8" t="str">
            <v>2013</v>
          </cell>
          <cell r="D8" t="str">
            <v>Tamara Dahlen</v>
          </cell>
          <cell r="E8" t="str">
            <v>61 York St,Sydney</v>
          </cell>
          <cell r="F8" t="str">
            <v>Sydney</v>
          </cell>
          <cell r="G8" t="str">
            <v>NSW</v>
          </cell>
          <cell r="H8" t="str">
            <v>Corporate</v>
          </cell>
          <cell r="I8" t="str">
            <v>Leighton Forrest</v>
          </cell>
          <cell r="J8" t="str">
            <v>Critical</v>
          </cell>
          <cell r="K8" t="str">
            <v>Message Book, One Form per Page</v>
          </cell>
          <cell r="L8" t="str">
            <v>Office Supplies</v>
          </cell>
          <cell r="M8" t="str">
            <v>Wrap Bag</v>
          </cell>
          <cell r="N8" t="str">
            <v>Express Air</v>
          </cell>
          <cell r="O8">
            <v>41319</v>
          </cell>
          <cell r="P8">
            <v>2.41</v>
          </cell>
          <cell r="Q8">
            <v>3.71</v>
          </cell>
          <cell r="R8">
            <v>1.2999999999999998</v>
          </cell>
          <cell r="S8">
            <v>42</v>
          </cell>
          <cell r="T8">
            <v>155.82</v>
          </cell>
          <cell r="V8">
            <v>10.907400000000001</v>
          </cell>
          <cell r="W8">
            <v>144.9126</v>
          </cell>
          <cell r="X8">
            <v>1.93</v>
          </cell>
          <cell r="Y8">
            <v>146.8426</v>
          </cell>
        </row>
        <row r="9">
          <cell r="A9" t="str">
            <v>5019-1</v>
          </cell>
          <cell r="B9">
            <v>41318</v>
          </cell>
          <cell r="C9" t="str">
            <v>2013</v>
          </cell>
          <cell r="D9" t="str">
            <v>Susan Vittorini</v>
          </cell>
          <cell r="E9" t="str">
            <v>3 Carrington Road ,Box Hill</v>
          </cell>
          <cell r="F9" t="str">
            <v>Melbourne</v>
          </cell>
          <cell r="G9" t="str">
            <v>VIC</v>
          </cell>
          <cell r="H9" t="str">
            <v>Home Office</v>
          </cell>
          <cell r="I9" t="str">
            <v>Yvette Biti</v>
          </cell>
          <cell r="J9" t="str">
            <v>High</v>
          </cell>
          <cell r="K9" t="str">
            <v>Cando S750 Color Inkjet Printer</v>
          </cell>
          <cell r="L9" t="str">
            <v>Technology</v>
          </cell>
          <cell r="M9" t="str">
            <v>Jumbo Drum</v>
          </cell>
          <cell r="N9" t="str">
            <v>Delivery Truck</v>
          </cell>
          <cell r="O9">
            <v>41320</v>
          </cell>
          <cell r="P9">
            <v>75</v>
          </cell>
          <cell r="Q9">
            <v>120.97</v>
          </cell>
          <cell r="R9">
            <v>45.97</v>
          </cell>
          <cell r="S9">
            <v>6</v>
          </cell>
          <cell r="T9">
            <v>725.81999999999994</v>
          </cell>
          <cell r="V9">
            <v>58.065599999999996</v>
          </cell>
          <cell r="W9">
            <v>667.75439999999992</v>
          </cell>
          <cell r="X9">
            <v>26.3</v>
          </cell>
          <cell r="Y9">
            <v>694.05439999999987</v>
          </cell>
        </row>
        <row r="10">
          <cell r="A10" t="str">
            <v>5020-1</v>
          </cell>
          <cell r="B10">
            <v>41319</v>
          </cell>
          <cell r="C10" t="str">
            <v>2013</v>
          </cell>
          <cell r="D10" t="str">
            <v>Muhammed Yedwab</v>
          </cell>
          <cell r="E10" t="str">
            <v>18 Whistler St,Sydney</v>
          </cell>
          <cell r="F10" t="str">
            <v>Sydney</v>
          </cell>
          <cell r="G10" t="str">
            <v>NSW</v>
          </cell>
          <cell r="H10" t="str">
            <v>Consumer</v>
          </cell>
          <cell r="I10" t="str">
            <v>Nicholas Fernandes</v>
          </cell>
          <cell r="J10" t="str">
            <v>Critical</v>
          </cell>
          <cell r="K10" t="str">
            <v>Steady EarthWrite Recycled Pencils, Medium Soft, #2</v>
          </cell>
          <cell r="L10" t="str">
            <v>Office Supplies</v>
          </cell>
          <cell r="M10" t="str">
            <v>Wrap Bag</v>
          </cell>
          <cell r="N10" t="str">
            <v>Regular Air</v>
          </cell>
          <cell r="O10">
            <v>41320</v>
          </cell>
          <cell r="P10">
            <v>0.9</v>
          </cell>
          <cell r="Q10">
            <v>2.1</v>
          </cell>
          <cell r="R10">
            <v>1.2000000000000002</v>
          </cell>
          <cell r="S10">
            <v>17</v>
          </cell>
          <cell r="T10">
            <v>35.700000000000003</v>
          </cell>
          <cell r="V10">
            <v>1.071</v>
          </cell>
          <cell r="W10">
            <v>34.629000000000005</v>
          </cell>
          <cell r="X10">
            <v>0.7</v>
          </cell>
          <cell r="Y10">
            <v>35.329000000000008</v>
          </cell>
        </row>
        <row r="11">
          <cell r="A11" t="str">
            <v>5023-1</v>
          </cell>
          <cell r="B11">
            <v>41322</v>
          </cell>
          <cell r="C11" t="str">
            <v>2013</v>
          </cell>
          <cell r="D11" t="str">
            <v>Olvera Toch</v>
          </cell>
          <cell r="E11" t="str">
            <v>3 Carrington Road ,Box Hill</v>
          </cell>
          <cell r="F11" t="str">
            <v>Melbourne</v>
          </cell>
          <cell r="G11" t="str">
            <v>VIC</v>
          </cell>
          <cell r="H11" t="str">
            <v>Home Office</v>
          </cell>
          <cell r="I11" t="str">
            <v>Yvette Biti</v>
          </cell>
          <cell r="J11" t="str">
            <v>Low</v>
          </cell>
          <cell r="K11" t="str">
            <v>12 Colored Short Pencils</v>
          </cell>
          <cell r="L11" t="str">
            <v>Office Supplies</v>
          </cell>
          <cell r="M11" t="str">
            <v>Wrap Bag</v>
          </cell>
          <cell r="N11" t="str">
            <v>Regular Air</v>
          </cell>
          <cell r="O11">
            <v>41327</v>
          </cell>
          <cell r="P11">
            <v>1.0900000000000001</v>
          </cell>
          <cell r="Q11">
            <v>2.6</v>
          </cell>
          <cell r="R11">
            <v>1.51</v>
          </cell>
          <cell r="S11">
            <v>47</v>
          </cell>
          <cell r="T11">
            <v>122.2</v>
          </cell>
          <cell r="V11">
            <v>12.22</v>
          </cell>
          <cell r="W11">
            <v>109.98</v>
          </cell>
          <cell r="X11">
            <v>2.4</v>
          </cell>
          <cell r="Y11">
            <v>112.38000000000001</v>
          </cell>
        </row>
        <row r="12">
          <cell r="A12" t="str">
            <v>5024-1</v>
          </cell>
          <cell r="B12">
            <v>41323</v>
          </cell>
          <cell r="C12" t="str">
            <v>2013</v>
          </cell>
          <cell r="D12" t="str">
            <v>Sean Wendt</v>
          </cell>
          <cell r="E12" t="str">
            <v>145 Ramsay St,Haberfield</v>
          </cell>
          <cell r="F12" t="str">
            <v>Sydney</v>
          </cell>
          <cell r="G12" t="str">
            <v>NSW</v>
          </cell>
          <cell r="H12" t="str">
            <v>Corporate</v>
          </cell>
          <cell r="I12" t="str">
            <v>Phoebe Gour</v>
          </cell>
          <cell r="J12" t="str">
            <v>Critical</v>
          </cell>
          <cell r="K12" t="str">
            <v>Multimedia Mailers</v>
          </cell>
          <cell r="L12" t="str">
            <v>Office Supplies</v>
          </cell>
          <cell r="M12" t="str">
            <v>Small Box</v>
          </cell>
          <cell r="N12" t="str">
            <v>Regular Air</v>
          </cell>
          <cell r="O12">
            <v>41325</v>
          </cell>
          <cell r="P12">
            <v>99.39</v>
          </cell>
          <cell r="Q12">
            <v>162.93</v>
          </cell>
          <cell r="R12">
            <v>63.540000000000006</v>
          </cell>
          <cell r="S12">
            <v>32</v>
          </cell>
          <cell r="T12">
            <v>5213.76</v>
          </cell>
          <cell r="V12">
            <v>469.23840000000001</v>
          </cell>
          <cell r="W12">
            <v>4744.5216</v>
          </cell>
          <cell r="X12">
            <v>19.989999999999998</v>
          </cell>
          <cell r="Y12">
            <v>4764.5115999999998</v>
          </cell>
        </row>
        <row r="13">
          <cell r="A13" t="str">
            <v>5025-1</v>
          </cell>
          <cell r="B13">
            <v>41325</v>
          </cell>
          <cell r="C13" t="str">
            <v>2013</v>
          </cell>
          <cell r="D13" t="str">
            <v>Rick Reed</v>
          </cell>
          <cell r="E13" t="str">
            <v>Sydney Fish Market, Bank Street, Sydney</v>
          </cell>
          <cell r="F13" t="str">
            <v>Sydney</v>
          </cell>
          <cell r="G13" t="str">
            <v>NSW</v>
          </cell>
          <cell r="H13" t="str">
            <v>Consumer</v>
          </cell>
          <cell r="I13" t="str">
            <v>Phoebe Gour</v>
          </cell>
          <cell r="J13" t="str">
            <v>Critical</v>
          </cell>
          <cell r="K13" t="str">
            <v>Pizazz Dustless Chalk Sticks</v>
          </cell>
          <cell r="L13" t="str">
            <v>Office Supplies</v>
          </cell>
          <cell r="M13" t="str">
            <v>Wrap Bag</v>
          </cell>
          <cell r="N13" t="str">
            <v>Regular Air</v>
          </cell>
          <cell r="O13">
            <v>41327</v>
          </cell>
          <cell r="P13">
            <v>1.0900000000000001</v>
          </cell>
          <cell r="Q13">
            <v>1.68</v>
          </cell>
          <cell r="R13">
            <v>0.58999999999999986</v>
          </cell>
          <cell r="S13">
            <v>33</v>
          </cell>
          <cell r="T13">
            <v>55.44</v>
          </cell>
          <cell r="V13">
            <v>2.2176</v>
          </cell>
          <cell r="W13">
            <v>53.2224</v>
          </cell>
          <cell r="X13">
            <v>1</v>
          </cell>
          <cell r="Y13">
            <v>54.2224</v>
          </cell>
        </row>
        <row r="14">
          <cell r="A14" t="str">
            <v>5027-1</v>
          </cell>
          <cell r="B14">
            <v>41327</v>
          </cell>
          <cell r="C14" t="str">
            <v>2013</v>
          </cell>
          <cell r="D14" t="str">
            <v>Toby Swindell</v>
          </cell>
          <cell r="E14" t="str">
            <v>273 George Street,Sydney</v>
          </cell>
          <cell r="F14" t="str">
            <v>Sydney</v>
          </cell>
          <cell r="G14" t="str">
            <v>NSW</v>
          </cell>
          <cell r="H14" t="str">
            <v>Small Business</v>
          </cell>
          <cell r="I14" t="str">
            <v>Leighton Forrest</v>
          </cell>
          <cell r="J14" t="str">
            <v>Not Specified</v>
          </cell>
          <cell r="K14" t="str">
            <v>TypeRight Side-Opening Peel &amp; Seel Expanding Envelopes</v>
          </cell>
          <cell r="L14" t="str">
            <v>Office Supplies</v>
          </cell>
          <cell r="M14" t="str">
            <v>Small Box</v>
          </cell>
          <cell r="N14" t="str">
            <v>Regular Air</v>
          </cell>
          <cell r="O14">
            <v>41328</v>
          </cell>
          <cell r="P14">
            <v>54.29</v>
          </cell>
          <cell r="Q14">
            <v>90.48</v>
          </cell>
          <cell r="R14">
            <v>36.190000000000005</v>
          </cell>
          <cell r="S14">
            <v>8</v>
          </cell>
          <cell r="T14">
            <v>723.84</v>
          </cell>
          <cell r="V14">
            <v>50.668800000000005</v>
          </cell>
          <cell r="W14">
            <v>673.1712</v>
          </cell>
          <cell r="X14">
            <v>19.989999999999998</v>
          </cell>
          <cell r="Y14">
            <v>693.16120000000001</v>
          </cell>
        </row>
        <row r="15">
          <cell r="A15" t="str">
            <v>5029-1</v>
          </cell>
          <cell r="B15">
            <v>41328</v>
          </cell>
          <cell r="C15" t="str">
            <v>2013</v>
          </cell>
          <cell r="D15" t="str">
            <v>Giulietta Weimer</v>
          </cell>
          <cell r="E15" t="str">
            <v>48 Albion St,Surry Hills</v>
          </cell>
          <cell r="F15" t="str">
            <v>Sydney</v>
          </cell>
          <cell r="G15" t="str">
            <v>NSW</v>
          </cell>
          <cell r="H15" t="str">
            <v>Corporate</v>
          </cell>
          <cell r="I15" t="str">
            <v>Natasha Song</v>
          </cell>
          <cell r="J15" t="str">
            <v>Not Specified</v>
          </cell>
          <cell r="K15" t="str">
            <v>Artisan Printable Repositionable Plastic Tabs</v>
          </cell>
          <cell r="L15" t="str">
            <v>Office Supplies</v>
          </cell>
          <cell r="M15" t="str">
            <v>Small Box</v>
          </cell>
          <cell r="N15" t="str">
            <v>Regular Air</v>
          </cell>
          <cell r="O15">
            <v>41328</v>
          </cell>
          <cell r="P15">
            <v>5.33</v>
          </cell>
          <cell r="Q15">
            <v>8.6</v>
          </cell>
          <cell r="R15">
            <v>3.2699999999999996</v>
          </cell>
          <cell r="S15">
            <v>48</v>
          </cell>
          <cell r="T15">
            <v>412.79999999999995</v>
          </cell>
          <cell r="V15">
            <v>0</v>
          </cell>
          <cell r="W15">
            <v>412.79999999999995</v>
          </cell>
          <cell r="X15">
            <v>6.19</v>
          </cell>
          <cell r="Y15">
            <v>418.98999999999995</v>
          </cell>
        </row>
        <row r="16">
          <cell r="A16" t="str">
            <v>5031-1</v>
          </cell>
          <cell r="B16">
            <v>41330</v>
          </cell>
          <cell r="C16" t="str">
            <v>2013</v>
          </cell>
          <cell r="D16" t="str">
            <v>Paul Prost</v>
          </cell>
          <cell r="E16" t="str">
            <v>120 Hardware St,Melbourne</v>
          </cell>
          <cell r="F16" t="str">
            <v>Melbourne</v>
          </cell>
          <cell r="G16" t="str">
            <v>VIC</v>
          </cell>
          <cell r="H16" t="str">
            <v>Corporate</v>
          </cell>
          <cell r="I16" t="str">
            <v>Connor Betts</v>
          </cell>
          <cell r="J16" t="str">
            <v>Medium</v>
          </cell>
          <cell r="K16" t="str">
            <v>Security-Tint Envelopes</v>
          </cell>
          <cell r="L16" t="str">
            <v>Office Supplies</v>
          </cell>
          <cell r="M16" t="str">
            <v>Small Box</v>
          </cell>
          <cell r="N16" t="str">
            <v>Regular Air</v>
          </cell>
          <cell r="O16">
            <v>41332</v>
          </cell>
          <cell r="P16">
            <v>4.8899999999999997</v>
          </cell>
          <cell r="Q16">
            <v>7.64</v>
          </cell>
          <cell r="R16">
            <v>2.75</v>
          </cell>
          <cell r="S16">
            <v>18</v>
          </cell>
          <cell r="T16">
            <v>137.51999999999998</v>
          </cell>
          <cell r="V16">
            <v>13.751999999999999</v>
          </cell>
          <cell r="W16">
            <v>123.76799999999999</v>
          </cell>
          <cell r="X16">
            <v>1.39</v>
          </cell>
          <cell r="Y16">
            <v>125.15799999999999</v>
          </cell>
        </row>
        <row r="17">
          <cell r="A17" t="str">
            <v>5033-1</v>
          </cell>
          <cell r="B17">
            <v>41330</v>
          </cell>
          <cell r="C17" t="str">
            <v>2013</v>
          </cell>
          <cell r="D17" t="str">
            <v>Katherine Ducich</v>
          </cell>
          <cell r="E17" t="str">
            <v>61A Bay Road,Wollstonecraft</v>
          </cell>
          <cell r="F17" t="str">
            <v>Sydney</v>
          </cell>
          <cell r="G17" t="str">
            <v>NSW</v>
          </cell>
          <cell r="H17" t="str">
            <v>Corporate</v>
          </cell>
          <cell r="I17" t="str">
            <v>Samantha Chairs</v>
          </cell>
          <cell r="J17" t="str">
            <v>Medium</v>
          </cell>
          <cell r="K17" t="str">
            <v>TypeRight Side-Opening Peel &amp; Seel Expanding Envelopes</v>
          </cell>
          <cell r="L17" t="str">
            <v>Office Supplies</v>
          </cell>
          <cell r="M17" t="str">
            <v>Small Box</v>
          </cell>
          <cell r="N17" t="str">
            <v>Regular Air</v>
          </cell>
          <cell r="O17">
            <v>41332</v>
          </cell>
          <cell r="P17">
            <v>54.29</v>
          </cell>
          <cell r="Q17">
            <v>90.48</v>
          </cell>
          <cell r="R17">
            <v>36.190000000000005</v>
          </cell>
          <cell r="S17">
            <v>3</v>
          </cell>
          <cell r="T17">
            <v>271.44</v>
          </cell>
          <cell r="V17">
            <v>8.1432000000000002</v>
          </cell>
          <cell r="W17">
            <v>263.29680000000002</v>
          </cell>
          <cell r="X17">
            <v>19.989999999999998</v>
          </cell>
          <cell r="Y17">
            <v>283.28680000000003</v>
          </cell>
        </row>
        <row r="18">
          <cell r="A18" t="str">
            <v>5034-1</v>
          </cell>
          <cell r="B18">
            <v>41331</v>
          </cell>
          <cell r="C18" t="str">
            <v>2013</v>
          </cell>
          <cell r="D18" t="str">
            <v>Natalie Webber</v>
          </cell>
          <cell r="E18" t="str">
            <v>98-104 Parramatta Rd,Camperdown</v>
          </cell>
          <cell r="F18" t="str">
            <v>Sydney</v>
          </cell>
          <cell r="G18" t="str">
            <v>NSW</v>
          </cell>
          <cell r="H18" t="str">
            <v>Corporate</v>
          </cell>
          <cell r="I18" t="str">
            <v>Phoebe Gour</v>
          </cell>
          <cell r="J18" t="str">
            <v>High</v>
          </cell>
          <cell r="K18" t="str">
            <v>Artisan Arch Ring Binders</v>
          </cell>
          <cell r="L18" t="str">
            <v>Office Supplies</v>
          </cell>
          <cell r="M18" t="str">
            <v>Small Box</v>
          </cell>
          <cell r="N18" t="str">
            <v>Regular Air</v>
          </cell>
          <cell r="O18">
            <v>41331</v>
          </cell>
          <cell r="P18">
            <v>36.020000000000003</v>
          </cell>
          <cell r="Q18">
            <v>58.1</v>
          </cell>
          <cell r="R18">
            <v>22.08</v>
          </cell>
          <cell r="S18">
            <v>50</v>
          </cell>
          <cell r="T18">
            <v>2905</v>
          </cell>
          <cell r="V18">
            <v>145.25</v>
          </cell>
          <cell r="W18">
            <v>2759.75</v>
          </cell>
          <cell r="X18">
            <v>1.49</v>
          </cell>
          <cell r="Y18">
            <v>2761.24</v>
          </cell>
        </row>
        <row r="19">
          <cell r="A19" t="str">
            <v>5036-1</v>
          </cell>
          <cell r="B19">
            <v>41340</v>
          </cell>
          <cell r="C19" t="str">
            <v>2013</v>
          </cell>
          <cell r="D19" t="str">
            <v>Sean ODonnell</v>
          </cell>
          <cell r="E19" t="str">
            <v>541 Church St ,Richmond</v>
          </cell>
          <cell r="F19" t="str">
            <v>Melbourne</v>
          </cell>
          <cell r="G19" t="str">
            <v>VIC</v>
          </cell>
          <cell r="H19" t="str">
            <v>Corporate</v>
          </cell>
          <cell r="I19" t="str">
            <v>Yvette Biti</v>
          </cell>
          <cell r="J19" t="str">
            <v>Critical</v>
          </cell>
          <cell r="K19" t="str">
            <v>OIC Thumb-Tacks</v>
          </cell>
          <cell r="L19" t="str">
            <v>Office Supplies</v>
          </cell>
          <cell r="M19" t="str">
            <v>Wrap Bag</v>
          </cell>
          <cell r="N19" t="str">
            <v>Regular Air</v>
          </cell>
          <cell r="O19">
            <v>41343</v>
          </cell>
          <cell r="P19">
            <v>0.71</v>
          </cell>
          <cell r="Q19">
            <v>1.1399999999999999</v>
          </cell>
          <cell r="R19">
            <v>0.42999999999999994</v>
          </cell>
          <cell r="S19">
            <v>50</v>
          </cell>
          <cell r="T19">
            <v>56.999999999999993</v>
          </cell>
          <cell r="V19">
            <v>3.4199999999999995</v>
          </cell>
          <cell r="W19">
            <v>53.579999999999991</v>
          </cell>
          <cell r="X19">
            <v>0.7</v>
          </cell>
          <cell r="Y19">
            <v>54.279999999999994</v>
          </cell>
        </row>
        <row r="20">
          <cell r="A20" t="str">
            <v>5037-1</v>
          </cell>
          <cell r="B20">
            <v>41344</v>
          </cell>
          <cell r="C20" t="str">
            <v>2013</v>
          </cell>
          <cell r="D20" t="str">
            <v>Art Foster</v>
          </cell>
          <cell r="E20" t="str">
            <v>14 Money Street, Perth</v>
          </cell>
          <cell r="F20" t="str">
            <v>Sydney</v>
          </cell>
          <cell r="G20" t="str">
            <v>NSW</v>
          </cell>
          <cell r="H20" t="str">
            <v>Home Office</v>
          </cell>
          <cell r="I20" t="str">
            <v>Stevie Bacata</v>
          </cell>
          <cell r="J20" t="str">
            <v>Critical</v>
          </cell>
          <cell r="K20" t="str">
            <v>Apex Elite Stainless Steel Scissors</v>
          </cell>
          <cell r="L20" t="str">
            <v>Office Supplies</v>
          </cell>
          <cell r="M20" t="str">
            <v>Small Pack</v>
          </cell>
          <cell r="N20" t="str">
            <v>Regular Air</v>
          </cell>
          <cell r="O20">
            <v>41346</v>
          </cell>
          <cell r="P20">
            <v>3.42</v>
          </cell>
          <cell r="Q20">
            <v>8.34</v>
          </cell>
          <cell r="R20">
            <v>4.92</v>
          </cell>
          <cell r="S20">
            <v>16</v>
          </cell>
          <cell r="T20">
            <v>133.44</v>
          </cell>
          <cell r="V20">
            <v>4.0031999999999996</v>
          </cell>
          <cell r="W20">
            <v>129.43680000000001</v>
          </cell>
          <cell r="X20">
            <v>2.64</v>
          </cell>
          <cell r="Y20">
            <v>132.07679999999999</v>
          </cell>
        </row>
        <row r="21">
          <cell r="A21" t="str">
            <v>5038-1</v>
          </cell>
          <cell r="B21">
            <v>41346</v>
          </cell>
          <cell r="C21" t="str">
            <v>2013</v>
          </cell>
          <cell r="D21" t="str">
            <v>Darren Powers</v>
          </cell>
          <cell r="E21" t="str">
            <v>120 Hardware St,Melbourne</v>
          </cell>
          <cell r="F21" t="str">
            <v>Melbourne</v>
          </cell>
          <cell r="G21" t="str">
            <v>VIC</v>
          </cell>
          <cell r="H21" t="str">
            <v>Corporate</v>
          </cell>
          <cell r="I21" t="str">
            <v>Connor Betts</v>
          </cell>
          <cell r="J21" t="str">
            <v>Low</v>
          </cell>
          <cell r="K21" t="str">
            <v>OIC Thumb-Tacks</v>
          </cell>
          <cell r="L21" t="str">
            <v>Office Supplies</v>
          </cell>
          <cell r="M21" t="str">
            <v>Wrap Bag</v>
          </cell>
          <cell r="N21" t="str">
            <v>Regular Air</v>
          </cell>
          <cell r="O21">
            <v>41346</v>
          </cell>
          <cell r="P21">
            <v>0.71</v>
          </cell>
          <cell r="Q21">
            <v>1.1399999999999999</v>
          </cell>
          <cell r="R21">
            <v>0.42999999999999994</v>
          </cell>
          <cell r="S21">
            <v>38</v>
          </cell>
          <cell r="T21">
            <v>43.319999999999993</v>
          </cell>
          <cell r="V21">
            <v>0.86639999999999984</v>
          </cell>
          <cell r="W21">
            <v>42.453599999999994</v>
          </cell>
          <cell r="X21">
            <v>0.7</v>
          </cell>
          <cell r="Y21">
            <v>43.153599999999997</v>
          </cell>
        </row>
        <row r="22">
          <cell r="A22" t="str">
            <v>5039-1</v>
          </cell>
          <cell r="B22">
            <v>41348</v>
          </cell>
          <cell r="C22" t="str">
            <v>2013</v>
          </cell>
          <cell r="D22" t="str">
            <v>Michael Grace</v>
          </cell>
          <cell r="E22" t="str">
            <v>402 Argyle St,Moss Vale</v>
          </cell>
          <cell r="F22" t="str">
            <v>Sydney</v>
          </cell>
          <cell r="G22" t="str">
            <v>NSW</v>
          </cell>
          <cell r="H22" t="str">
            <v>Corporate</v>
          </cell>
          <cell r="I22" t="str">
            <v>Natasha Song</v>
          </cell>
          <cell r="J22" t="str">
            <v>Medium</v>
          </cell>
          <cell r="K22" t="str">
            <v>Alto Parchment Paper, Assorted Colors</v>
          </cell>
          <cell r="L22" t="str">
            <v>Office Supplies</v>
          </cell>
          <cell r="M22" t="str">
            <v>Small Box</v>
          </cell>
          <cell r="N22" t="str">
            <v>Regular Air</v>
          </cell>
          <cell r="O22">
            <v>41349</v>
          </cell>
          <cell r="P22">
            <v>4.59</v>
          </cell>
          <cell r="Q22">
            <v>7.28</v>
          </cell>
          <cell r="R22">
            <v>2.6900000000000004</v>
          </cell>
          <cell r="S22">
            <v>22</v>
          </cell>
          <cell r="T22">
            <v>160.16</v>
          </cell>
          <cell r="V22">
            <v>1.6015999999999999</v>
          </cell>
          <cell r="W22">
            <v>158.55840000000001</v>
          </cell>
          <cell r="X22">
            <v>11.15</v>
          </cell>
          <cell r="Y22">
            <v>169.70840000000001</v>
          </cell>
        </row>
        <row r="23">
          <cell r="A23" t="str">
            <v>5040-1</v>
          </cell>
          <cell r="B23">
            <v>41349</v>
          </cell>
          <cell r="C23" t="str">
            <v>2013</v>
          </cell>
          <cell r="D23" t="str">
            <v>Christina Vanderzanden</v>
          </cell>
          <cell r="E23" t="str">
            <v>188 Pitt Street,Sydney</v>
          </cell>
          <cell r="F23" t="str">
            <v>Sydney</v>
          </cell>
          <cell r="G23" t="str">
            <v>NSW</v>
          </cell>
          <cell r="H23" t="str">
            <v>Small Business</v>
          </cell>
          <cell r="I23" t="str">
            <v>Tina Carlton</v>
          </cell>
          <cell r="J23" t="str">
            <v>Low</v>
          </cell>
          <cell r="K23" t="str">
            <v>Steady Colorific Colored Pencils, 12/Box</v>
          </cell>
          <cell r="L23" t="str">
            <v>Office Supplies</v>
          </cell>
          <cell r="M23" t="str">
            <v>Wrap Bag</v>
          </cell>
          <cell r="N23" t="str">
            <v>Regular Air</v>
          </cell>
          <cell r="O23">
            <v>41353</v>
          </cell>
          <cell r="P23">
            <v>1.3</v>
          </cell>
          <cell r="Q23">
            <v>2.88</v>
          </cell>
          <cell r="R23">
            <v>1.5799999999999998</v>
          </cell>
          <cell r="S23">
            <v>48</v>
          </cell>
          <cell r="T23">
            <v>138.24</v>
          </cell>
          <cell r="V23">
            <v>9.6768000000000018</v>
          </cell>
          <cell r="W23">
            <v>128.56319999999999</v>
          </cell>
          <cell r="X23">
            <v>1.01</v>
          </cell>
          <cell r="Y23">
            <v>129.57319999999999</v>
          </cell>
        </row>
        <row r="24">
          <cell r="A24" t="str">
            <v>5043-1</v>
          </cell>
          <cell r="B24">
            <v>41356</v>
          </cell>
          <cell r="C24" t="str">
            <v>2013</v>
          </cell>
          <cell r="D24" t="str">
            <v>Aaron Smayling</v>
          </cell>
          <cell r="E24" t="str">
            <v>1737 Botany Rd,Banksmeadow</v>
          </cell>
          <cell r="F24" t="str">
            <v>Sydney</v>
          </cell>
          <cell r="G24" t="str">
            <v>NSW</v>
          </cell>
          <cell r="H24" t="str">
            <v>Small Business</v>
          </cell>
          <cell r="I24" t="str">
            <v>Nicholas Fernandes</v>
          </cell>
          <cell r="J24" t="str">
            <v>High</v>
          </cell>
          <cell r="K24" t="str">
            <v>Smiths Gold Paper Clips</v>
          </cell>
          <cell r="L24" t="str">
            <v>Office Supplies</v>
          </cell>
          <cell r="M24" t="str">
            <v>Wrap Bag</v>
          </cell>
          <cell r="N24" t="str">
            <v>Regular Air</v>
          </cell>
          <cell r="O24">
            <v>41359</v>
          </cell>
          <cell r="P24">
            <v>1.82</v>
          </cell>
          <cell r="Q24">
            <v>2.98</v>
          </cell>
          <cell r="R24">
            <v>1.1599999999999999</v>
          </cell>
          <cell r="S24">
            <v>22</v>
          </cell>
          <cell r="T24">
            <v>65.56</v>
          </cell>
          <cell r="V24">
            <v>2.6224000000000003</v>
          </cell>
          <cell r="W24">
            <v>62.937600000000003</v>
          </cell>
          <cell r="X24">
            <v>1.58</v>
          </cell>
          <cell r="Y24">
            <v>64.517600000000002</v>
          </cell>
        </row>
        <row r="25">
          <cell r="A25" t="str">
            <v>5045-1</v>
          </cell>
          <cell r="B25">
            <v>41359</v>
          </cell>
          <cell r="C25" t="str">
            <v>2013</v>
          </cell>
          <cell r="D25" t="str">
            <v>Mick Brown</v>
          </cell>
          <cell r="E25" t="str">
            <v>523 King St,Newtown</v>
          </cell>
          <cell r="F25" t="str">
            <v>Sydney</v>
          </cell>
          <cell r="G25" t="str">
            <v>NSW</v>
          </cell>
          <cell r="H25" t="str">
            <v>Consumer</v>
          </cell>
          <cell r="I25" t="str">
            <v>Aanya Zhang</v>
          </cell>
          <cell r="J25" t="str">
            <v>Not Specified</v>
          </cell>
          <cell r="K25" t="str">
            <v>UGen RF Keyboard</v>
          </cell>
          <cell r="L25" t="str">
            <v>Technology</v>
          </cell>
          <cell r="M25" t="str">
            <v>Small Box</v>
          </cell>
          <cell r="N25" t="str">
            <v>Regular Air</v>
          </cell>
          <cell r="O25">
            <v>41361</v>
          </cell>
          <cell r="P25">
            <v>81.59</v>
          </cell>
          <cell r="Q25">
            <v>159.99</v>
          </cell>
          <cell r="R25">
            <v>78.400000000000006</v>
          </cell>
          <cell r="S25">
            <v>30</v>
          </cell>
          <cell r="T25">
            <v>4799.7000000000007</v>
          </cell>
          <cell r="V25">
            <v>47.997000000000007</v>
          </cell>
          <cell r="W25">
            <v>4751.7030000000004</v>
          </cell>
          <cell r="X25">
            <v>5.5</v>
          </cell>
          <cell r="Y25">
            <v>4757.2030000000004</v>
          </cell>
        </row>
        <row r="26">
          <cell r="A26" t="str">
            <v>5047-1</v>
          </cell>
          <cell r="B26">
            <v>41360</v>
          </cell>
          <cell r="C26" t="str">
            <v>2013</v>
          </cell>
          <cell r="D26" t="str">
            <v>Edward Becker</v>
          </cell>
          <cell r="E26" t="str">
            <v>501 George St,Sydney</v>
          </cell>
          <cell r="F26" t="str">
            <v>Sydney</v>
          </cell>
          <cell r="G26" t="str">
            <v>NSW</v>
          </cell>
          <cell r="H26" t="str">
            <v>Home Office</v>
          </cell>
          <cell r="I26" t="str">
            <v>Samantha Chairs</v>
          </cell>
          <cell r="J26" t="str">
            <v>Low</v>
          </cell>
          <cell r="K26" t="str">
            <v>Artisan Printable Repositionable Plastic Tabs</v>
          </cell>
          <cell r="L26" t="str">
            <v>Office Supplies</v>
          </cell>
          <cell r="M26" t="str">
            <v>Small Box</v>
          </cell>
          <cell r="N26" t="str">
            <v>Regular Air</v>
          </cell>
          <cell r="O26">
            <v>41367</v>
          </cell>
          <cell r="P26">
            <v>5.33</v>
          </cell>
          <cell r="Q26">
            <v>8.6</v>
          </cell>
          <cell r="R26">
            <v>3.2699999999999996</v>
          </cell>
          <cell r="S26">
            <v>37</v>
          </cell>
          <cell r="T26">
            <v>318.2</v>
          </cell>
          <cell r="V26">
            <v>12.728</v>
          </cell>
          <cell r="W26">
            <v>305.47199999999998</v>
          </cell>
          <cell r="X26">
            <v>6.19</v>
          </cell>
          <cell r="Y26">
            <v>311.66199999999998</v>
          </cell>
        </row>
        <row r="27">
          <cell r="A27" t="str">
            <v>5048-1</v>
          </cell>
          <cell r="B27">
            <v>41360</v>
          </cell>
          <cell r="C27" t="str">
            <v>2013</v>
          </cell>
          <cell r="D27" t="str">
            <v>Erica Smith</v>
          </cell>
          <cell r="E27" t="str">
            <v>188 Pitt Street,Sydney</v>
          </cell>
          <cell r="F27" t="str">
            <v>Sydney</v>
          </cell>
          <cell r="G27" t="str">
            <v>NSW</v>
          </cell>
          <cell r="H27" t="str">
            <v>Small Business</v>
          </cell>
          <cell r="I27" t="str">
            <v>Tina Carlton</v>
          </cell>
          <cell r="J27" t="str">
            <v>Medium</v>
          </cell>
          <cell r="K27" t="str">
            <v>Smiths Standard Envelopes</v>
          </cell>
          <cell r="L27" t="str">
            <v>Office Supplies</v>
          </cell>
          <cell r="M27" t="str">
            <v>Small Box</v>
          </cell>
          <cell r="N27" t="str">
            <v>Regular Air</v>
          </cell>
          <cell r="O27">
            <v>41360</v>
          </cell>
          <cell r="P27">
            <v>3.52</v>
          </cell>
          <cell r="Q27">
            <v>5.68</v>
          </cell>
          <cell r="R27">
            <v>2.1599999999999997</v>
          </cell>
          <cell r="S27">
            <v>24</v>
          </cell>
          <cell r="T27">
            <v>136.32</v>
          </cell>
          <cell r="V27">
            <v>8.1791999999999998</v>
          </cell>
          <cell r="W27">
            <v>128.14079999999998</v>
          </cell>
          <cell r="X27">
            <v>1.39</v>
          </cell>
          <cell r="Y27">
            <v>129.53079999999997</v>
          </cell>
        </row>
        <row r="28">
          <cell r="A28" t="str">
            <v>5049-1</v>
          </cell>
          <cell r="B28">
            <v>41363</v>
          </cell>
          <cell r="C28" t="str">
            <v>2013</v>
          </cell>
          <cell r="D28" t="str">
            <v>Justin Knight</v>
          </cell>
          <cell r="E28" t="str">
            <v>Macquarie Centre Cnr Herring Road &amp; Waterloo Road,Macquarie Park</v>
          </cell>
          <cell r="F28" t="str">
            <v>Sydney</v>
          </cell>
          <cell r="G28" t="str">
            <v>NSW</v>
          </cell>
          <cell r="H28" t="str">
            <v>Corporate</v>
          </cell>
          <cell r="I28" t="str">
            <v>Nicholas Fernandes</v>
          </cell>
          <cell r="J28" t="str">
            <v>Not Specified</v>
          </cell>
          <cell r="K28" t="str">
            <v>Office Shears by Apex</v>
          </cell>
          <cell r="L28" t="str">
            <v>Office Supplies</v>
          </cell>
          <cell r="M28" t="str">
            <v>Small Pack</v>
          </cell>
          <cell r="N28" t="str">
            <v>Regular Air</v>
          </cell>
          <cell r="O28">
            <v>41364</v>
          </cell>
          <cell r="P28">
            <v>0.94</v>
          </cell>
          <cell r="Q28">
            <v>2.08</v>
          </cell>
          <cell r="R28">
            <v>1.1400000000000001</v>
          </cell>
          <cell r="S28">
            <v>4</v>
          </cell>
          <cell r="T28">
            <v>8.32</v>
          </cell>
          <cell r="V28">
            <v>0.16640000000000002</v>
          </cell>
          <cell r="W28">
            <v>8.1536000000000008</v>
          </cell>
          <cell r="X28">
            <v>2.56</v>
          </cell>
          <cell r="Y28">
            <v>10.713600000000001</v>
          </cell>
        </row>
        <row r="29">
          <cell r="A29" t="str">
            <v>5050-1</v>
          </cell>
          <cell r="B29">
            <v>41383</v>
          </cell>
          <cell r="C29" t="str">
            <v>2013</v>
          </cell>
          <cell r="D29" t="str">
            <v>Craig Carroll</v>
          </cell>
          <cell r="E29" t="str">
            <v>99 Lygon Street,East Brunswick</v>
          </cell>
          <cell r="F29" t="str">
            <v>Melbourne</v>
          </cell>
          <cell r="G29" t="str">
            <v>VIC</v>
          </cell>
          <cell r="H29" t="str">
            <v>Corporate</v>
          </cell>
          <cell r="I29" t="str">
            <v>Connor Betts</v>
          </cell>
          <cell r="J29" t="str">
            <v>Not Specified</v>
          </cell>
          <cell r="K29" t="str">
            <v>Artisan Printable Repositionable Plastic Tabs</v>
          </cell>
          <cell r="L29" t="str">
            <v>Office Supplies</v>
          </cell>
          <cell r="M29" t="str">
            <v>Small Box</v>
          </cell>
          <cell r="N29" t="str">
            <v>Regular Air</v>
          </cell>
          <cell r="O29">
            <v>41384</v>
          </cell>
          <cell r="P29">
            <v>5.33</v>
          </cell>
          <cell r="Q29">
            <v>8.6</v>
          </cell>
          <cell r="R29">
            <v>3.2699999999999996</v>
          </cell>
          <cell r="S29">
            <v>36</v>
          </cell>
          <cell r="T29">
            <v>309.59999999999997</v>
          </cell>
          <cell r="V29">
            <v>18.575999999999997</v>
          </cell>
          <cell r="W29">
            <v>291.02399999999994</v>
          </cell>
          <cell r="X29">
            <v>6.19</v>
          </cell>
          <cell r="Y29">
            <v>297.21399999999994</v>
          </cell>
        </row>
        <row r="30">
          <cell r="A30" t="str">
            <v>5052-1</v>
          </cell>
          <cell r="B30">
            <v>41384</v>
          </cell>
          <cell r="C30" t="str">
            <v>2013</v>
          </cell>
          <cell r="D30" t="str">
            <v>Laura Armstrong</v>
          </cell>
          <cell r="E30" t="str">
            <v>240-242 Johnston Street,Fitzroy</v>
          </cell>
          <cell r="F30" t="str">
            <v>Melbourne</v>
          </cell>
          <cell r="G30" t="str">
            <v>VIC</v>
          </cell>
          <cell r="H30" t="str">
            <v>Small Business</v>
          </cell>
          <cell r="I30" t="str">
            <v>Connor Betts</v>
          </cell>
          <cell r="J30" t="str">
            <v>Not Specified</v>
          </cell>
          <cell r="K30" t="str">
            <v>EcoTones Memo Sheets</v>
          </cell>
          <cell r="L30" t="str">
            <v>Office Supplies</v>
          </cell>
          <cell r="M30" t="str">
            <v>Wrap Bag</v>
          </cell>
          <cell r="N30" t="str">
            <v>Regular Air</v>
          </cell>
          <cell r="O30">
            <v>41386</v>
          </cell>
          <cell r="P30">
            <v>2.52</v>
          </cell>
          <cell r="Q30">
            <v>4</v>
          </cell>
          <cell r="R30">
            <v>1.48</v>
          </cell>
          <cell r="S30">
            <v>31</v>
          </cell>
          <cell r="T30">
            <v>124</v>
          </cell>
          <cell r="V30">
            <v>1.24</v>
          </cell>
          <cell r="W30">
            <v>122.76</v>
          </cell>
          <cell r="X30">
            <v>1.3</v>
          </cell>
          <cell r="Y30">
            <v>124.06</v>
          </cell>
        </row>
        <row r="31">
          <cell r="A31" t="str">
            <v>5055-1</v>
          </cell>
          <cell r="B31">
            <v>41391</v>
          </cell>
          <cell r="C31" t="str">
            <v>2013</v>
          </cell>
          <cell r="D31" t="str">
            <v>Noah Childs</v>
          </cell>
          <cell r="E31" t="str">
            <v>78 Stanley St,Darlinghurst</v>
          </cell>
          <cell r="F31" t="str">
            <v>Sydney</v>
          </cell>
          <cell r="G31" t="str">
            <v>NSW</v>
          </cell>
          <cell r="H31" t="str">
            <v>Home Office</v>
          </cell>
          <cell r="I31" t="str">
            <v>Phoebe Gour</v>
          </cell>
          <cell r="J31" t="str">
            <v>High</v>
          </cell>
          <cell r="K31" t="str">
            <v>Smiths Premium Bright 1-Part Blank Computer Paper</v>
          </cell>
          <cell r="L31" t="str">
            <v>Office Supplies</v>
          </cell>
          <cell r="M31" t="str">
            <v>Small Box</v>
          </cell>
          <cell r="N31" t="str">
            <v>Express Air</v>
          </cell>
          <cell r="O31">
            <v>41392</v>
          </cell>
          <cell r="P31">
            <v>7.61</v>
          </cell>
          <cell r="Q31">
            <v>12.28</v>
          </cell>
          <cell r="R31">
            <v>4.669999999999999</v>
          </cell>
          <cell r="S31">
            <v>29</v>
          </cell>
          <cell r="T31">
            <v>356.12</v>
          </cell>
          <cell r="V31">
            <v>0</v>
          </cell>
          <cell r="W31">
            <v>356.12</v>
          </cell>
          <cell r="X31">
            <v>6.35</v>
          </cell>
          <cell r="Y31">
            <v>362.47</v>
          </cell>
        </row>
        <row r="32">
          <cell r="A32" t="str">
            <v>5057-1</v>
          </cell>
          <cell r="B32">
            <v>41392</v>
          </cell>
          <cell r="C32" t="str">
            <v>2013</v>
          </cell>
          <cell r="D32" t="str">
            <v>Rob Haberlin</v>
          </cell>
          <cell r="E32" t="str">
            <v>8 Rankins Lane ,Melbourne</v>
          </cell>
          <cell r="F32" t="str">
            <v>Melbourne</v>
          </cell>
          <cell r="G32" t="str">
            <v>VIC</v>
          </cell>
          <cell r="H32" t="str">
            <v>Corporate</v>
          </cell>
          <cell r="I32" t="str">
            <v>Connor Betts</v>
          </cell>
          <cell r="J32" t="str">
            <v>Medium</v>
          </cell>
          <cell r="K32" t="str">
            <v>Artisan 479 Labels</v>
          </cell>
          <cell r="L32" t="str">
            <v>Office Supplies</v>
          </cell>
          <cell r="M32" t="str">
            <v>Small Box</v>
          </cell>
          <cell r="N32" t="str">
            <v>Regular Air</v>
          </cell>
          <cell r="O32">
            <v>41394</v>
          </cell>
          <cell r="P32">
            <v>1.59</v>
          </cell>
          <cell r="Q32">
            <v>2.61</v>
          </cell>
          <cell r="R32">
            <v>1.0199999999999998</v>
          </cell>
          <cell r="S32">
            <v>9</v>
          </cell>
          <cell r="T32">
            <v>23.49</v>
          </cell>
          <cell r="V32">
            <v>1.4093999999999998</v>
          </cell>
          <cell r="W32">
            <v>22.080599999999997</v>
          </cell>
          <cell r="X32">
            <v>0.5</v>
          </cell>
          <cell r="Y32">
            <v>22.580599999999997</v>
          </cell>
        </row>
        <row r="33">
          <cell r="A33" t="str">
            <v>5059-1</v>
          </cell>
          <cell r="B33">
            <v>41392</v>
          </cell>
          <cell r="C33" t="str">
            <v>2013</v>
          </cell>
          <cell r="D33" t="str">
            <v>Barry Weirich</v>
          </cell>
          <cell r="E33" t="str">
            <v>1/20 Pendal Lane, Perth</v>
          </cell>
          <cell r="F33" t="str">
            <v>Sydney</v>
          </cell>
          <cell r="G33" t="str">
            <v>NSW</v>
          </cell>
          <cell r="H33" t="str">
            <v>Corporate</v>
          </cell>
          <cell r="I33" t="str">
            <v>Charlie Bui</v>
          </cell>
          <cell r="J33" t="str">
            <v>Medium</v>
          </cell>
          <cell r="K33" t="str">
            <v>Beekin 105-Key Black Keyboard</v>
          </cell>
          <cell r="L33" t="str">
            <v>Technology</v>
          </cell>
          <cell r="M33" t="str">
            <v>Small Box</v>
          </cell>
          <cell r="N33" t="str">
            <v>Regular Air</v>
          </cell>
          <cell r="O33">
            <v>41392</v>
          </cell>
          <cell r="P33">
            <v>6.39</v>
          </cell>
          <cell r="Q33">
            <v>19.98</v>
          </cell>
          <cell r="R33">
            <v>13.59</v>
          </cell>
          <cell r="S33">
            <v>7</v>
          </cell>
          <cell r="T33">
            <v>139.86000000000001</v>
          </cell>
          <cell r="V33">
            <v>1.3986000000000001</v>
          </cell>
          <cell r="W33">
            <v>138.46140000000003</v>
          </cell>
          <cell r="X33">
            <v>4</v>
          </cell>
          <cell r="Y33">
            <v>142.46140000000003</v>
          </cell>
        </row>
        <row r="34">
          <cell r="A34" t="str">
            <v>5060-1</v>
          </cell>
          <cell r="B34">
            <v>41394</v>
          </cell>
          <cell r="C34" t="str">
            <v>2013</v>
          </cell>
          <cell r="D34" t="str">
            <v>Kelly Williams</v>
          </cell>
          <cell r="E34" t="str">
            <v>499-501 Lygon Street,Carlton North</v>
          </cell>
          <cell r="F34" t="str">
            <v>Melbourne</v>
          </cell>
          <cell r="G34" t="str">
            <v>VIC</v>
          </cell>
          <cell r="H34" t="str">
            <v>Corporate</v>
          </cell>
          <cell r="I34" t="str">
            <v>Yvette Biti</v>
          </cell>
          <cell r="J34" t="str">
            <v>Medium</v>
          </cell>
          <cell r="K34" t="str">
            <v>Adesso Programmable 142-Key Keyboard</v>
          </cell>
          <cell r="L34" t="str">
            <v>Technology</v>
          </cell>
          <cell r="M34" t="str">
            <v>Small Box</v>
          </cell>
          <cell r="N34" t="str">
            <v>Express Air</v>
          </cell>
          <cell r="O34">
            <v>41395</v>
          </cell>
          <cell r="P34">
            <v>32.020000000000003</v>
          </cell>
          <cell r="Q34">
            <v>152.47999999999999</v>
          </cell>
          <cell r="R34">
            <v>120.45999999999998</v>
          </cell>
          <cell r="S34">
            <v>16</v>
          </cell>
          <cell r="T34">
            <v>2439.6799999999998</v>
          </cell>
          <cell r="V34">
            <v>243.96799999999999</v>
          </cell>
          <cell r="W34">
            <v>2195.712</v>
          </cell>
          <cell r="X34">
            <v>4</v>
          </cell>
          <cell r="Y34">
            <v>2199.712</v>
          </cell>
        </row>
        <row r="35">
          <cell r="A35" t="str">
            <v>5061-1</v>
          </cell>
          <cell r="B35">
            <v>41394</v>
          </cell>
          <cell r="C35" t="str">
            <v>2013</v>
          </cell>
          <cell r="D35" t="str">
            <v>Jack OBriant</v>
          </cell>
          <cell r="E35" t="str">
            <v>85-113 Dunning Ave,Rosebery</v>
          </cell>
          <cell r="F35" t="str">
            <v>Sydney</v>
          </cell>
          <cell r="G35" t="str">
            <v>NSW</v>
          </cell>
          <cell r="H35" t="str">
            <v>Small Business</v>
          </cell>
          <cell r="I35" t="str">
            <v>Mihael Khan</v>
          </cell>
          <cell r="J35" t="str">
            <v>Not Specified</v>
          </cell>
          <cell r="K35" t="str">
            <v>Smiths Premium Bright 1-Part Blank Computer Paper</v>
          </cell>
          <cell r="L35" t="str">
            <v>Office Supplies</v>
          </cell>
          <cell r="M35" t="str">
            <v>Small Box</v>
          </cell>
          <cell r="N35" t="str">
            <v>Regular Air</v>
          </cell>
          <cell r="O35">
            <v>41396</v>
          </cell>
          <cell r="P35">
            <v>7.61</v>
          </cell>
          <cell r="Q35">
            <v>12.28</v>
          </cell>
          <cell r="R35">
            <v>4.669999999999999</v>
          </cell>
          <cell r="S35">
            <v>27</v>
          </cell>
          <cell r="T35">
            <v>331.56</v>
          </cell>
          <cell r="V35">
            <v>9.9467999999999996</v>
          </cell>
          <cell r="W35">
            <v>321.61320000000001</v>
          </cell>
          <cell r="X35">
            <v>6.35</v>
          </cell>
          <cell r="Y35">
            <v>327.96320000000003</v>
          </cell>
        </row>
        <row r="36">
          <cell r="A36" t="str">
            <v>5062-1</v>
          </cell>
          <cell r="B36">
            <v>41394</v>
          </cell>
          <cell r="C36" t="str">
            <v>2013</v>
          </cell>
          <cell r="D36" t="str">
            <v>Pamela Stobb</v>
          </cell>
          <cell r="E36" t="str">
            <v>273 George Street,Sydney</v>
          </cell>
          <cell r="F36" t="str">
            <v>Sydney</v>
          </cell>
          <cell r="G36" t="str">
            <v>NSW</v>
          </cell>
          <cell r="H36" t="str">
            <v>Consumer</v>
          </cell>
          <cell r="I36" t="str">
            <v>Leighton Forrest</v>
          </cell>
          <cell r="J36" t="str">
            <v>Not Specified</v>
          </cell>
          <cell r="K36" t="str">
            <v>TechSavi Access Keyboard</v>
          </cell>
          <cell r="L36" t="str">
            <v>Technology</v>
          </cell>
          <cell r="M36" t="str">
            <v>Small Box</v>
          </cell>
          <cell r="N36" t="str">
            <v>Regular Air</v>
          </cell>
          <cell r="O36">
            <v>41396</v>
          </cell>
          <cell r="P36">
            <v>10.07</v>
          </cell>
          <cell r="Q36">
            <v>15.98</v>
          </cell>
          <cell r="R36">
            <v>5.91</v>
          </cell>
          <cell r="S36">
            <v>39</v>
          </cell>
          <cell r="T36">
            <v>623.22</v>
          </cell>
          <cell r="V36">
            <v>56.089800000000004</v>
          </cell>
          <cell r="W36">
            <v>567.13020000000006</v>
          </cell>
          <cell r="X36">
            <v>4</v>
          </cell>
          <cell r="Y36">
            <v>571.13020000000006</v>
          </cell>
        </row>
        <row r="37">
          <cell r="A37" t="str">
            <v>5063-1</v>
          </cell>
          <cell r="B37">
            <v>41395</v>
          </cell>
          <cell r="C37" t="str">
            <v>2013</v>
          </cell>
          <cell r="D37" t="str">
            <v>William Brown</v>
          </cell>
          <cell r="E37" t="str">
            <v>3 Carrington Road ,Box Hill</v>
          </cell>
          <cell r="F37" t="str">
            <v>Melbourne</v>
          </cell>
          <cell r="G37" t="str">
            <v>VIC</v>
          </cell>
          <cell r="H37" t="str">
            <v>Corporate</v>
          </cell>
          <cell r="I37" t="str">
            <v>Yvette Biti</v>
          </cell>
          <cell r="J37" t="str">
            <v>Not Specified</v>
          </cell>
          <cell r="K37" t="str">
            <v>Smiths SlimLine Pencil Sharpener</v>
          </cell>
          <cell r="L37" t="str">
            <v>Office Supplies</v>
          </cell>
          <cell r="M37" t="str">
            <v>Small Pack</v>
          </cell>
          <cell r="N37" t="str">
            <v>Regular Air</v>
          </cell>
          <cell r="O37">
            <v>41397</v>
          </cell>
          <cell r="P37">
            <v>4.79</v>
          </cell>
          <cell r="Q37">
            <v>11.97</v>
          </cell>
          <cell r="R37">
            <v>7.1800000000000006</v>
          </cell>
          <cell r="S37">
            <v>7</v>
          </cell>
          <cell r="T37">
            <v>83.79</v>
          </cell>
          <cell r="V37">
            <v>4.1895000000000007</v>
          </cell>
          <cell r="W37">
            <v>79.600500000000011</v>
          </cell>
          <cell r="X37">
            <v>5.81</v>
          </cell>
          <cell r="Y37">
            <v>85.410500000000013</v>
          </cell>
        </row>
        <row r="38">
          <cell r="A38" t="str">
            <v>5064-1</v>
          </cell>
          <cell r="B38">
            <v>41396</v>
          </cell>
          <cell r="C38" t="str">
            <v>2013</v>
          </cell>
          <cell r="D38" t="str">
            <v>Nat Carroll</v>
          </cell>
          <cell r="E38" t="str">
            <v>499-501 Lygon Street,Carlton North</v>
          </cell>
          <cell r="F38" t="str">
            <v>Melbourne</v>
          </cell>
          <cell r="G38" t="str">
            <v>VIC</v>
          </cell>
          <cell r="H38" t="str">
            <v>Home Office</v>
          </cell>
          <cell r="I38" t="str">
            <v>Yvette Biti</v>
          </cell>
          <cell r="J38" t="str">
            <v>Not Specified</v>
          </cell>
          <cell r="K38" t="str">
            <v>Artisan Premier Heavy-Duty Binder with Round Locking Rings</v>
          </cell>
          <cell r="L38" t="str">
            <v>Office Supplies</v>
          </cell>
          <cell r="M38" t="str">
            <v>Small Box</v>
          </cell>
          <cell r="N38" t="str">
            <v>Regular Air</v>
          </cell>
          <cell r="O38">
            <v>41397</v>
          </cell>
          <cell r="P38">
            <v>8.7100000000000009</v>
          </cell>
          <cell r="Q38">
            <v>14.28</v>
          </cell>
          <cell r="R38">
            <v>5.5699999999999985</v>
          </cell>
          <cell r="S38">
            <v>42</v>
          </cell>
          <cell r="T38">
            <v>599.76</v>
          </cell>
          <cell r="V38">
            <v>59.975999999999999</v>
          </cell>
          <cell r="W38">
            <v>539.78399999999999</v>
          </cell>
          <cell r="X38">
            <v>2.99</v>
          </cell>
          <cell r="Y38">
            <v>542.774</v>
          </cell>
        </row>
        <row r="39">
          <cell r="A39" t="str">
            <v>5066-1</v>
          </cell>
          <cell r="B39">
            <v>41396</v>
          </cell>
          <cell r="C39" t="str">
            <v>2013</v>
          </cell>
          <cell r="D39" t="str">
            <v>Troy Staebel</v>
          </cell>
          <cell r="E39" t="str">
            <v>1-2/299 Sussex St,Sydney</v>
          </cell>
          <cell r="F39" t="str">
            <v>Sydney</v>
          </cell>
          <cell r="G39" t="str">
            <v>NSW</v>
          </cell>
          <cell r="H39" t="str">
            <v>Small Business</v>
          </cell>
          <cell r="I39" t="str">
            <v>Aanya Zhang</v>
          </cell>
          <cell r="J39" t="str">
            <v>Critical</v>
          </cell>
          <cell r="K39" t="str">
            <v>TypeRight Side-Opening Peel &amp; Seel Expanding Envelopes</v>
          </cell>
          <cell r="L39" t="str">
            <v>Office Supplies</v>
          </cell>
          <cell r="M39" t="str">
            <v>Small Box</v>
          </cell>
          <cell r="N39" t="str">
            <v>Regular Air</v>
          </cell>
          <cell r="O39">
            <v>41397</v>
          </cell>
          <cell r="P39">
            <v>54.29</v>
          </cell>
          <cell r="Q39">
            <v>90.48</v>
          </cell>
          <cell r="R39">
            <v>36.190000000000005</v>
          </cell>
          <cell r="S39">
            <v>15</v>
          </cell>
          <cell r="T39">
            <v>1357.2</v>
          </cell>
          <cell r="V39">
            <v>67.86</v>
          </cell>
          <cell r="W39">
            <v>1289.3400000000001</v>
          </cell>
          <cell r="X39">
            <v>19.989999999999998</v>
          </cell>
          <cell r="Y39">
            <v>1309.3300000000002</v>
          </cell>
        </row>
        <row r="40">
          <cell r="A40" t="str">
            <v>5068-1</v>
          </cell>
          <cell r="B40">
            <v>41397</v>
          </cell>
          <cell r="C40" t="str">
            <v>2013</v>
          </cell>
          <cell r="D40" t="str">
            <v>Dario Medina</v>
          </cell>
          <cell r="E40" t="str">
            <v>60 York St,Sydney</v>
          </cell>
          <cell r="F40" t="str">
            <v>Sydney</v>
          </cell>
          <cell r="G40" t="str">
            <v>NSW</v>
          </cell>
          <cell r="H40" t="str">
            <v>Small Business</v>
          </cell>
          <cell r="I40" t="str">
            <v>Charlie Bui</v>
          </cell>
          <cell r="J40" t="str">
            <v>Critical</v>
          </cell>
          <cell r="K40" t="str">
            <v>Smiths Standard Envelopes</v>
          </cell>
          <cell r="L40" t="str">
            <v>Office Supplies</v>
          </cell>
          <cell r="M40" t="str">
            <v>Small Box</v>
          </cell>
          <cell r="N40" t="str">
            <v>Regular Air</v>
          </cell>
          <cell r="O40">
            <v>41399</v>
          </cell>
          <cell r="P40">
            <v>3.52</v>
          </cell>
          <cell r="Q40">
            <v>5.68</v>
          </cell>
          <cell r="R40">
            <v>2.1599999999999997</v>
          </cell>
          <cell r="S40">
            <v>20</v>
          </cell>
          <cell r="T40">
            <v>113.6</v>
          </cell>
          <cell r="V40">
            <v>7.952</v>
          </cell>
          <cell r="W40">
            <v>105.648</v>
          </cell>
          <cell r="X40">
            <v>1.39</v>
          </cell>
          <cell r="Y40">
            <v>107.038</v>
          </cell>
        </row>
        <row r="41">
          <cell r="A41" t="str">
            <v>5070-1</v>
          </cell>
          <cell r="B41">
            <v>41398</v>
          </cell>
          <cell r="C41" t="str">
            <v>2013</v>
          </cell>
          <cell r="D41" t="str">
            <v>Lynn Smith</v>
          </cell>
          <cell r="E41" t="str">
            <v>61A Bay Road,Wollstonecraft</v>
          </cell>
          <cell r="F41" t="str">
            <v>Sydney</v>
          </cell>
          <cell r="G41" t="str">
            <v>NSW</v>
          </cell>
          <cell r="H41" t="str">
            <v>Corporate</v>
          </cell>
          <cell r="I41" t="str">
            <v>Samantha Chairs</v>
          </cell>
          <cell r="J41" t="str">
            <v>Critical</v>
          </cell>
          <cell r="K41" t="str">
            <v>Steady Liquid Accent Highlighters</v>
          </cell>
          <cell r="L41" t="str">
            <v>Office Supplies</v>
          </cell>
          <cell r="M41" t="str">
            <v>Wrap Bag</v>
          </cell>
          <cell r="N41" t="str">
            <v>Regular Air</v>
          </cell>
          <cell r="O41">
            <v>41400</v>
          </cell>
          <cell r="P41">
            <v>3.47</v>
          </cell>
          <cell r="Q41">
            <v>6.68</v>
          </cell>
          <cell r="R41">
            <v>3.2099999999999995</v>
          </cell>
          <cell r="S41">
            <v>41</v>
          </cell>
          <cell r="T41">
            <v>273.88</v>
          </cell>
          <cell r="V41">
            <v>21.910399999999999</v>
          </cell>
          <cell r="W41">
            <v>251.96959999999999</v>
          </cell>
          <cell r="X41">
            <v>1.5</v>
          </cell>
          <cell r="Y41">
            <v>253.46959999999999</v>
          </cell>
        </row>
        <row r="42">
          <cell r="A42" t="str">
            <v>5071-1</v>
          </cell>
          <cell r="B42">
            <v>41399</v>
          </cell>
          <cell r="C42" t="str">
            <v>2013</v>
          </cell>
          <cell r="D42" t="str">
            <v>Christopher Schild</v>
          </cell>
          <cell r="E42" t="str">
            <v>4A Lyons St,Strathfield</v>
          </cell>
          <cell r="F42" t="str">
            <v>Sydney</v>
          </cell>
          <cell r="G42" t="str">
            <v>NSW</v>
          </cell>
          <cell r="H42" t="str">
            <v>Corporate</v>
          </cell>
          <cell r="I42" t="str">
            <v>Tina Carlton</v>
          </cell>
          <cell r="J42" t="str">
            <v>Medium</v>
          </cell>
          <cell r="K42" t="str">
            <v>Laser Neon Mac Format Diskettes, 10/Pack</v>
          </cell>
          <cell r="L42" t="str">
            <v>Technology</v>
          </cell>
          <cell r="M42" t="str">
            <v>Small Pack</v>
          </cell>
          <cell r="N42" t="str">
            <v>Regular Air</v>
          </cell>
          <cell r="O42">
            <v>41400</v>
          </cell>
          <cell r="P42">
            <v>1.87</v>
          </cell>
          <cell r="Q42">
            <v>2.2253000000000003</v>
          </cell>
          <cell r="R42">
            <v>0.35530000000000017</v>
          </cell>
          <cell r="S42">
            <v>41</v>
          </cell>
          <cell r="T42">
            <v>91.237300000000005</v>
          </cell>
          <cell r="V42">
            <v>5.4742379999999997</v>
          </cell>
          <cell r="W42">
            <v>85.763062000000005</v>
          </cell>
          <cell r="X42">
            <v>2.83</v>
          </cell>
          <cell r="Y42">
            <v>88.593062000000003</v>
          </cell>
        </row>
        <row r="43">
          <cell r="A43" t="str">
            <v>5071-2</v>
          </cell>
          <cell r="B43">
            <v>41399</v>
          </cell>
          <cell r="C43" t="str">
            <v>2013</v>
          </cell>
          <cell r="D43" t="str">
            <v>Christopher Schild</v>
          </cell>
          <cell r="E43" t="str">
            <v>4A Lyons St,Strathfield</v>
          </cell>
          <cell r="F43" t="str">
            <v>Sydney</v>
          </cell>
          <cell r="G43" t="str">
            <v>NSW</v>
          </cell>
          <cell r="H43" t="str">
            <v>Corporate</v>
          </cell>
          <cell r="I43" t="str">
            <v>Tina Carlton</v>
          </cell>
          <cell r="J43" t="str">
            <v>Medium</v>
          </cell>
          <cell r="K43" t="str">
            <v>Steady Liquid Accent Highlighters</v>
          </cell>
          <cell r="L43" t="str">
            <v>Office Supplies</v>
          </cell>
          <cell r="M43" t="str">
            <v>Wrap Bag</v>
          </cell>
          <cell r="N43" t="str">
            <v>Regular Air</v>
          </cell>
          <cell r="O43">
            <v>41400</v>
          </cell>
          <cell r="P43">
            <v>3.47</v>
          </cell>
          <cell r="Q43">
            <v>6.68</v>
          </cell>
          <cell r="R43">
            <v>3.2099999999999995</v>
          </cell>
          <cell r="S43">
            <v>2</v>
          </cell>
          <cell r="T43">
            <v>13.36</v>
          </cell>
          <cell r="V43">
            <v>0.1336</v>
          </cell>
          <cell r="W43">
            <v>13.2264</v>
          </cell>
          <cell r="X43">
            <v>1.5</v>
          </cell>
          <cell r="Y43">
            <v>14.7264</v>
          </cell>
        </row>
        <row r="44">
          <cell r="A44" t="str">
            <v>5075-1</v>
          </cell>
          <cell r="B44">
            <v>41399</v>
          </cell>
          <cell r="C44" t="str">
            <v>2013</v>
          </cell>
          <cell r="D44" t="str">
            <v>Dave Kipp</v>
          </cell>
          <cell r="E44" t="str">
            <v>221 Barkly St,St Kilda</v>
          </cell>
          <cell r="F44" t="str">
            <v>Melbourne</v>
          </cell>
          <cell r="G44" t="str">
            <v>VIC</v>
          </cell>
          <cell r="H44" t="str">
            <v>Corporate</v>
          </cell>
          <cell r="I44" t="str">
            <v>Yvette Biti</v>
          </cell>
          <cell r="J44" t="str">
            <v>Low</v>
          </cell>
          <cell r="K44" t="str">
            <v>TechSavi Access Keyboard</v>
          </cell>
          <cell r="L44" t="str">
            <v>Technology</v>
          </cell>
          <cell r="M44" t="str">
            <v>Small Box</v>
          </cell>
          <cell r="N44" t="str">
            <v>Regular Air</v>
          </cell>
          <cell r="O44">
            <v>41404</v>
          </cell>
          <cell r="P44">
            <v>10.07</v>
          </cell>
          <cell r="Q44">
            <v>15.98</v>
          </cell>
          <cell r="R44">
            <v>5.91</v>
          </cell>
          <cell r="S44">
            <v>34</v>
          </cell>
          <cell r="T44">
            <v>543.32000000000005</v>
          </cell>
          <cell r="V44">
            <v>54.332000000000008</v>
          </cell>
          <cell r="W44">
            <v>488.98800000000006</v>
          </cell>
          <cell r="X44">
            <v>4</v>
          </cell>
          <cell r="Y44">
            <v>492.98800000000006</v>
          </cell>
        </row>
        <row r="45">
          <cell r="A45" t="str">
            <v>5077-1</v>
          </cell>
          <cell r="B45">
            <v>41401</v>
          </cell>
          <cell r="C45" t="str">
            <v>2013</v>
          </cell>
          <cell r="D45" t="str">
            <v>Grant Carroll</v>
          </cell>
          <cell r="E45" t="str">
            <v>10 O'Connell St,Sydney</v>
          </cell>
          <cell r="F45" t="str">
            <v>Sydney</v>
          </cell>
          <cell r="G45" t="str">
            <v>NSW</v>
          </cell>
          <cell r="H45" t="str">
            <v>Small Business</v>
          </cell>
          <cell r="I45" t="str">
            <v>Aanya Zhang</v>
          </cell>
          <cell r="J45" t="str">
            <v>Not Specified</v>
          </cell>
          <cell r="K45" t="str">
            <v>Smiths SlimLine Pencil Sharpener</v>
          </cell>
          <cell r="L45" t="str">
            <v>Office Supplies</v>
          </cell>
          <cell r="M45" t="str">
            <v>Small Pack</v>
          </cell>
          <cell r="N45" t="str">
            <v>Regular Air</v>
          </cell>
          <cell r="O45">
            <v>41403</v>
          </cell>
          <cell r="P45">
            <v>4.79</v>
          </cell>
          <cell r="Q45">
            <v>11.97</v>
          </cell>
          <cell r="R45">
            <v>7.1800000000000006</v>
          </cell>
          <cell r="S45">
            <v>18</v>
          </cell>
          <cell r="T45">
            <v>215.46</v>
          </cell>
          <cell r="V45">
            <v>17.236800000000002</v>
          </cell>
          <cell r="W45">
            <v>198.22320000000002</v>
          </cell>
          <cell r="X45">
            <v>5.81</v>
          </cell>
          <cell r="Y45">
            <v>204.03320000000002</v>
          </cell>
        </row>
        <row r="46">
          <cell r="A46" t="str">
            <v>5079-1</v>
          </cell>
          <cell r="B46">
            <v>41403</v>
          </cell>
          <cell r="C46" t="str">
            <v>2013</v>
          </cell>
          <cell r="D46" t="str">
            <v>Liz Pelletier</v>
          </cell>
          <cell r="E46" t="str">
            <v>79 Elliott St,Balmain</v>
          </cell>
          <cell r="F46" t="str">
            <v>Sydney</v>
          </cell>
          <cell r="G46" t="str">
            <v>NSW</v>
          </cell>
          <cell r="H46" t="str">
            <v>Home Office</v>
          </cell>
          <cell r="I46" t="str">
            <v>Aanya Zhang</v>
          </cell>
          <cell r="J46" t="str">
            <v>Critical</v>
          </cell>
          <cell r="K46" t="str">
            <v>1726 Digital Answering Machine</v>
          </cell>
          <cell r="L46" t="str">
            <v>Technology</v>
          </cell>
          <cell r="M46" t="str">
            <v>Medium Box</v>
          </cell>
          <cell r="N46" t="str">
            <v>Express Air</v>
          </cell>
          <cell r="O46">
            <v>41404</v>
          </cell>
          <cell r="P46">
            <v>8.82</v>
          </cell>
          <cell r="Q46">
            <v>20.99</v>
          </cell>
          <cell r="R46">
            <v>12.169999999999998</v>
          </cell>
          <cell r="S46">
            <v>8</v>
          </cell>
          <cell r="T46">
            <v>167.92</v>
          </cell>
          <cell r="V46">
            <v>15.112799999999998</v>
          </cell>
          <cell r="W46">
            <v>152.80719999999999</v>
          </cell>
          <cell r="X46">
            <v>4.8099999999999996</v>
          </cell>
          <cell r="Y46">
            <v>157.6172</v>
          </cell>
        </row>
        <row r="47">
          <cell r="A47" t="str">
            <v>5081-1</v>
          </cell>
          <cell r="B47">
            <v>41403</v>
          </cell>
          <cell r="C47" t="str">
            <v>2013</v>
          </cell>
          <cell r="D47" t="str">
            <v>Thea Hudgings</v>
          </cell>
          <cell r="E47" t="str">
            <v>240-242 Johnston Street,Fitzroy</v>
          </cell>
          <cell r="F47" t="str">
            <v>Melbourne</v>
          </cell>
          <cell r="G47" t="str">
            <v>VIC</v>
          </cell>
          <cell r="H47" t="str">
            <v>Consumer</v>
          </cell>
          <cell r="I47" t="str">
            <v>Connor Betts</v>
          </cell>
          <cell r="J47" t="str">
            <v>Critical</v>
          </cell>
          <cell r="K47" t="str">
            <v>Pizazz Dustless Chalk Sticks</v>
          </cell>
          <cell r="L47" t="str">
            <v>Office Supplies</v>
          </cell>
          <cell r="M47" t="str">
            <v>Wrap Bag</v>
          </cell>
          <cell r="N47" t="str">
            <v>Regular Air</v>
          </cell>
          <cell r="O47">
            <v>41405</v>
          </cell>
          <cell r="P47">
            <v>1.0900000000000001</v>
          </cell>
          <cell r="Q47">
            <v>1.68</v>
          </cell>
          <cell r="R47">
            <v>0.58999999999999986</v>
          </cell>
          <cell r="S47">
            <v>18</v>
          </cell>
          <cell r="T47">
            <v>30.24</v>
          </cell>
          <cell r="V47">
            <v>1.8143999999999998</v>
          </cell>
          <cell r="W47">
            <v>28.425599999999999</v>
          </cell>
          <cell r="X47">
            <v>1</v>
          </cell>
          <cell r="Y47">
            <v>29.425599999999999</v>
          </cell>
        </row>
        <row r="48">
          <cell r="A48" t="str">
            <v>5084-1</v>
          </cell>
          <cell r="B48">
            <v>41407</v>
          </cell>
          <cell r="C48" t="str">
            <v>2013</v>
          </cell>
          <cell r="D48" t="str">
            <v>Alex Russell</v>
          </cell>
          <cell r="E48" t="str">
            <v>101/12 Victoria Ave, Perth</v>
          </cell>
          <cell r="F48" t="str">
            <v>Melbourne</v>
          </cell>
          <cell r="G48" t="str">
            <v>VIC</v>
          </cell>
          <cell r="H48" t="str">
            <v>Home Office</v>
          </cell>
          <cell r="I48" t="str">
            <v>Connor Betts</v>
          </cell>
          <cell r="J48" t="str">
            <v>Medium</v>
          </cell>
          <cell r="K48" t="str">
            <v>EcoTones Memo Sheets</v>
          </cell>
          <cell r="L48" t="str">
            <v>Office Supplies</v>
          </cell>
          <cell r="M48" t="str">
            <v>Wrap Bag</v>
          </cell>
          <cell r="N48" t="str">
            <v>Express Air</v>
          </cell>
          <cell r="O48">
            <v>41409</v>
          </cell>
          <cell r="P48">
            <v>2.52</v>
          </cell>
          <cell r="Q48">
            <v>4</v>
          </cell>
          <cell r="R48">
            <v>1.48</v>
          </cell>
          <cell r="S48">
            <v>19</v>
          </cell>
          <cell r="T48">
            <v>76</v>
          </cell>
          <cell r="V48">
            <v>6.84</v>
          </cell>
          <cell r="W48">
            <v>69.16</v>
          </cell>
          <cell r="X48">
            <v>1.3</v>
          </cell>
          <cell r="Y48">
            <v>70.459999999999994</v>
          </cell>
        </row>
        <row r="49">
          <cell r="A49" t="str">
            <v>5086-1</v>
          </cell>
          <cell r="B49">
            <v>41408</v>
          </cell>
          <cell r="C49" t="str">
            <v>2013</v>
          </cell>
          <cell r="D49" t="str">
            <v>Eudokia Martin</v>
          </cell>
          <cell r="E49" t="str">
            <v>412 Brunswick St,Fitzroy</v>
          </cell>
          <cell r="F49" t="str">
            <v>Melbourne</v>
          </cell>
          <cell r="G49" t="str">
            <v>VIC</v>
          </cell>
          <cell r="H49" t="str">
            <v>Home Office</v>
          </cell>
          <cell r="I49" t="str">
            <v>Connor Betts</v>
          </cell>
          <cell r="J49" t="str">
            <v>High</v>
          </cell>
          <cell r="K49" t="str">
            <v>Artisan Flip-Chart Easel Binder, Black</v>
          </cell>
          <cell r="L49" t="str">
            <v>Office Supplies</v>
          </cell>
          <cell r="M49" t="str">
            <v>Small Box</v>
          </cell>
          <cell r="N49" t="str">
            <v>Regular Air</v>
          </cell>
          <cell r="O49">
            <v>41409</v>
          </cell>
          <cell r="P49">
            <v>13.88</v>
          </cell>
          <cell r="Q49">
            <v>22.38</v>
          </cell>
          <cell r="R49">
            <v>8.4999999999999982</v>
          </cell>
          <cell r="S49">
            <v>26</v>
          </cell>
          <cell r="T49">
            <v>581.88</v>
          </cell>
          <cell r="V49">
            <v>58.188000000000002</v>
          </cell>
          <cell r="W49">
            <v>523.69200000000001</v>
          </cell>
          <cell r="X49">
            <v>15.1</v>
          </cell>
          <cell r="Y49">
            <v>538.79200000000003</v>
          </cell>
        </row>
        <row r="50">
          <cell r="A50" t="str">
            <v>5087-1</v>
          </cell>
          <cell r="B50">
            <v>41408</v>
          </cell>
          <cell r="C50" t="str">
            <v>2013</v>
          </cell>
          <cell r="D50" t="str">
            <v>Scot Wooten</v>
          </cell>
          <cell r="E50" t="str">
            <v>438 Victoria Avenue,Chatswood</v>
          </cell>
          <cell r="F50" t="str">
            <v>Sydney</v>
          </cell>
          <cell r="G50" t="str">
            <v>NSW</v>
          </cell>
          <cell r="H50" t="str">
            <v>Corporate</v>
          </cell>
          <cell r="I50" t="str">
            <v>Natasha Song</v>
          </cell>
          <cell r="J50" t="str">
            <v>Not Specified</v>
          </cell>
          <cell r="K50" t="str">
            <v>DrawIt Colored Pencils, 48-Color Set</v>
          </cell>
          <cell r="L50" t="str">
            <v>Office Supplies</v>
          </cell>
          <cell r="M50" t="str">
            <v>Wrap Bag</v>
          </cell>
          <cell r="N50" t="str">
            <v>Regular Air</v>
          </cell>
          <cell r="O50">
            <v>41410</v>
          </cell>
          <cell r="P50">
            <v>21.56</v>
          </cell>
          <cell r="Q50">
            <v>36.549999999999997</v>
          </cell>
          <cell r="R50">
            <v>14.989999999999998</v>
          </cell>
          <cell r="S50">
            <v>45</v>
          </cell>
          <cell r="T50">
            <v>1644.7499999999998</v>
          </cell>
          <cell r="V50">
            <v>164.47499999999999</v>
          </cell>
          <cell r="W50">
            <v>1480.2749999999999</v>
          </cell>
          <cell r="X50">
            <v>13.89</v>
          </cell>
          <cell r="Y50">
            <v>1494.165</v>
          </cell>
        </row>
        <row r="51">
          <cell r="A51" t="str">
            <v>5089-1</v>
          </cell>
          <cell r="B51">
            <v>41409</v>
          </cell>
          <cell r="C51" t="str">
            <v>2013</v>
          </cell>
          <cell r="D51" t="str">
            <v>Jenna Caffey</v>
          </cell>
          <cell r="E51" t="str">
            <v>470 Anzac Parade,Kingsford</v>
          </cell>
          <cell r="F51" t="str">
            <v>Sydney</v>
          </cell>
          <cell r="G51" t="str">
            <v>NSW</v>
          </cell>
          <cell r="H51" t="str">
            <v>Consumer</v>
          </cell>
          <cell r="I51" t="str">
            <v>Tina Carlton</v>
          </cell>
          <cell r="J51" t="str">
            <v>High</v>
          </cell>
          <cell r="K51" t="str">
            <v>600 Series Non-Flip</v>
          </cell>
          <cell r="L51" t="str">
            <v>Technology</v>
          </cell>
          <cell r="M51" t="str">
            <v>Small Box</v>
          </cell>
          <cell r="N51" t="str">
            <v>Express Air</v>
          </cell>
          <cell r="O51">
            <v>41410</v>
          </cell>
          <cell r="P51">
            <v>19.78</v>
          </cell>
          <cell r="Q51">
            <v>45.99</v>
          </cell>
          <cell r="R51">
            <v>26.21</v>
          </cell>
          <cell r="S51">
            <v>14</v>
          </cell>
          <cell r="T51">
            <v>643.86</v>
          </cell>
          <cell r="V51">
            <v>12.8772</v>
          </cell>
          <cell r="W51">
            <v>630.9828</v>
          </cell>
          <cell r="X51">
            <v>4.99</v>
          </cell>
          <cell r="Y51">
            <v>635.97280000000001</v>
          </cell>
        </row>
        <row r="52">
          <cell r="A52" t="str">
            <v>5091-1</v>
          </cell>
          <cell r="B52">
            <v>41413</v>
          </cell>
          <cell r="C52" t="str">
            <v>2013</v>
          </cell>
          <cell r="D52" t="str">
            <v>Brad Thomas</v>
          </cell>
          <cell r="E52" t="str">
            <v>152 Bunnerong Road,Eastgardens</v>
          </cell>
          <cell r="F52" t="str">
            <v>Sydney</v>
          </cell>
          <cell r="G52" t="str">
            <v>NSW</v>
          </cell>
          <cell r="H52" t="str">
            <v>Home Office</v>
          </cell>
          <cell r="I52" t="str">
            <v>Tina Carlton</v>
          </cell>
          <cell r="J52" t="str">
            <v>High</v>
          </cell>
          <cell r="K52" t="str">
            <v>210 Trimline Phone, White</v>
          </cell>
          <cell r="L52" t="str">
            <v>Technology</v>
          </cell>
          <cell r="M52" t="str">
            <v>Medium Box</v>
          </cell>
          <cell r="N52" t="str">
            <v>Regular Air</v>
          </cell>
          <cell r="O52">
            <v>41414</v>
          </cell>
          <cell r="P52">
            <v>9.91</v>
          </cell>
          <cell r="Q52">
            <v>15.99</v>
          </cell>
          <cell r="R52">
            <v>6.08</v>
          </cell>
          <cell r="S52">
            <v>7</v>
          </cell>
          <cell r="T52">
            <v>111.93</v>
          </cell>
          <cell r="V52">
            <v>3.3578999999999999</v>
          </cell>
          <cell r="W52">
            <v>108.57210000000001</v>
          </cell>
          <cell r="X52">
            <v>11.28</v>
          </cell>
          <cell r="Y52">
            <v>119.85210000000001</v>
          </cell>
        </row>
        <row r="53">
          <cell r="A53" t="str">
            <v>5093-1</v>
          </cell>
          <cell r="B53">
            <v>41413</v>
          </cell>
          <cell r="C53" t="str">
            <v>2013</v>
          </cell>
          <cell r="D53" t="str">
            <v>Nat Carroll</v>
          </cell>
          <cell r="E53" t="str">
            <v>499-501 Lygon Street,Carlton North</v>
          </cell>
          <cell r="F53" t="str">
            <v>Melbourne</v>
          </cell>
          <cell r="G53" t="str">
            <v>VIC</v>
          </cell>
          <cell r="H53" t="str">
            <v>Home Office</v>
          </cell>
          <cell r="I53" t="str">
            <v>Yvette Biti</v>
          </cell>
          <cell r="J53" t="str">
            <v>Not Specified</v>
          </cell>
          <cell r="K53" t="str">
            <v>Steady Major Accent Highlighters</v>
          </cell>
          <cell r="L53" t="str">
            <v>Office Supplies</v>
          </cell>
          <cell r="M53" t="str">
            <v>Wrap Bag</v>
          </cell>
          <cell r="N53" t="str">
            <v>Regular Air</v>
          </cell>
          <cell r="O53">
            <v>41414</v>
          </cell>
          <cell r="P53">
            <v>3.75</v>
          </cell>
          <cell r="Q53">
            <v>7.08</v>
          </cell>
          <cell r="R53">
            <v>3.33</v>
          </cell>
          <cell r="S53">
            <v>29</v>
          </cell>
          <cell r="T53">
            <v>205.32</v>
          </cell>
          <cell r="V53">
            <v>8.2127999999999997</v>
          </cell>
          <cell r="W53">
            <v>197.10720000000001</v>
          </cell>
          <cell r="X53">
            <v>2.35</v>
          </cell>
          <cell r="Y53">
            <v>199.4572</v>
          </cell>
        </row>
        <row r="54">
          <cell r="A54" t="str">
            <v>5095-1</v>
          </cell>
          <cell r="B54">
            <v>41414</v>
          </cell>
          <cell r="C54" t="str">
            <v>2013</v>
          </cell>
          <cell r="D54" t="str">
            <v>Roy Skaria</v>
          </cell>
          <cell r="E54" t="str">
            <v>2/797 Botany Rd,Rosebery</v>
          </cell>
          <cell r="F54" t="str">
            <v>Sydney</v>
          </cell>
          <cell r="G54" t="str">
            <v>NSW</v>
          </cell>
          <cell r="H54" t="str">
            <v>Corporate</v>
          </cell>
          <cell r="I54" t="str">
            <v>Samantha Chairs</v>
          </cell>
          <cell r="J54" t="str">
            <v>High</v>
          </cell>
          <cell r="K54" t="str">
            <v>Aluminum Document Frame</v>
          </cell>
          <cell r="L54" t="str">
            <v>Furniture</v>
          </cell>
          <cell r="M54" t="str">
            <v>Small Pack</v>
          </cell>
          <cell r="N54" t="str">
            <v>Regular Air</v>
          </cell>
          <cell r="O54">
            <v>41415</v>
          </cell>
          <cell r="P54">
            <v>5.5</v>
          </cell>
          <cell r="Q54">
            <v>12.22</v>
          </cell>
          <cell r="R54">
            <v>6.7200000000000006</v>
          </cell>
          <cell r="S54">
            <v>35</v>
          </cell>
          <cell r="T54">
            <v>427.70000000000005</v>
          </cell>
          <cell r="V54">
            <v>0</v>
          </cell>
          <cell r="W54">
            <v>427.70000000000005</v>
          </cell>
          <cell r="X54">
            <v>2.85</v>
          </cell>
          <cell r="Y54">
            <v>430.55000000000007</v>
          </cell>
        </row>
        <row r="55">
          <cell r="A55" t="str">
            <v>5097-1</v>
          </cell>
          <cell r="B55">
            <v>41414</v>
          </cell>
          <cell r="C55" t="str">
            <v>2013</v>
          </cell>
          <cell r="D55" t="str">
            <v>Brad Eason</v>
          </cell>
          <cell r="E55" t="str">
            <v>1737 Botany Rd,Banksmeadow</v>
          </cell>
          <cell r="F55" t="str">
            <v>Sydney</v>
          </cell>
          <cell r="G55" t="str">
            <v>NSW</v>
          </cell>
          <cell r="H55" t="str">
            <v>Small Business</v>
          </cell>
          <cell r="I55" t="str">
            <v>Nicholas Fernandes</v>
          </cell>
          <cell r="J55" t="str">
            <v>Not Specified</v>
          </cell>
          <cell r="K55" t="str">
            <v>Artisan Legal 4-Ring Binder</v>
          </cell>
          <cell r="L55" t="str">
            <v>Office Supplies</v>
          </cell>
          <cell r="M55" t="str">
            <v>Small Box</v>
          </cell>
          <cell r="N55" t="str">
            <v>Regular Air</v>
          </cell>
          <cell r="O55">
            <v>41416</v>
          </cell>
          <cell r="P55">
            <v>13.64</v>
          </cell>
          <cell r="Q55">
            <v>20.98</v>
          </cell>
          <cell r="R55">
            <v>7.34</v>
          </cell>
          <cell r="S55">
            <v>47</v>
          </cell>
          <cell r="T55">
            <v>986.06000000000006</v>
          </cell>
          <cell r="V55">
            <v>98.606000000000009</v>
          </cell>
          <cell r="W55">
            <v>887.45400000000006</v>
          </cell>
          <cell r="X55">
            <v>1.49</v>
          </cell>
          <cell r="Y55">
            <v>888.94400000000007</v>
          </cell>
        </row>
        <row r="56">
          <cell r="A56" t="str">
            <v>5099-1</v>
          </cell>
          <cell r="B56">
            <v>41415</v>
          </cell>
          <cell r="C56" t="str">
            <v>2013</v>
          </cell>
          <cell r="D56" t="str">
            <v>Dave Kipp</v>
          </cell>
          <cell r="E56" t="str">
            <v>221 Barkly St,St Kilda</v>
          </cell>
          <cell r="F56" t="str">
            <v>Melbourne</v>
          </cell>
          <cell r="G56" t="str">
            <v>VIC</v>
          </cell>
          <cell r="H56" t="str">
            <v>Consumer</v>
          </cell>
          <cell r="I56" t="str">
            <v>Yvette Biti</v>
          </cell>
          <cell r="J56" t="str">
            <v>High</v>
          </cell>
          <cell r="K56" t="str">
            <v>Apex Elite Stainless Steel Scissors</v>
          </cell>
          <cell r="L56" t="str">
            <v>Office Supplies</v>
          </cell>
          <cell r="M56" t="str">
            <v>Small Pack</v>
          </cell>
          <cell r="N56" t="str">
            <v>Regular Air</v>
          </cell>
          <cell r="O56">
            <v>41415</v>
          </cell>
          <cell r="P56">
            <v>3.42</v>
          </cell>
          <cell r="Q56">
            <v>8.34</v>
          </cell>
          <cell r="R56">
            <v>4.92</v>
          </cell>
          <cell r="S56">
            <v>24</v>
          </cell>
          <cell r="T56">
            <v>200.16</v>
          </cell>
          <cell r="V56">
            <v>20.016000000000002</v>
          </cell>
          <cell r="W56">
            <v>180.14400000000001</v>
          </cell>
          <cell r="X56">
            <v>2.64</v>
          </cell>
          <cell r="Y56">
            <v>182.78399999999999</v>
          </cell>
        </row>
        <row r="57">
          <cell r="A57" t="str">
            <v>5101-1</v>
          </cell>
          <cell r="B57">
            <v>41416</v>
          </cell>
          <cell r="C57" t="str">
            <v>2013</v>
          </cell>
          <cell r="D57" t="str">
            <v>Thais Sissman</v>
          </cell>
          <cell r="E57" t="str">
            <v>8 Orange Street</v>
          </cell>
          <cell r="F57" t="str">
            <v>Perth</v>
          </cell>
          <cell r="G57" t="str">
            <v>WA</v>
          </cell>
          <cell r="H57" t="str">
            <v>Small Business</v>
          </cell>
          <cell r="I57" t="str">
            <v>Tina Carlton</v>
          </cell>
          <cell r="J57" t="str">
            <v>Critical</v>
          </cell>
          <cell r="K57" t="str">
            <v>Alto Parchment Paper, Assorted Colors</v>
          </cell>
          <cell r="L57" t="str">
            <v>Office Supplies</v>
          </cell>
          <cell r="M57" t="str">
            <v>Small Box</v>
          </cell>
          <cell r="N57" t="str">
            <v>Express Air</v>
          </cell>
          <cell r="O57">
            <v>41417</v>
          </cell>
          <cell r="P57">
            <v>4.59</v>
          </cell>
          <cell r="Q57">
            <v>7.28</v>
          </cell>
          <cell r="R57">
            <v>2.6900000000000004</v>
          </cell>
          <cell r="S57">
            <v>2</v>
          </cell>
          <cell r="T57">
            <v>14.56</v>
          </cell>
          <cell r="V57">
            <v>1.1648000000000001</v>
          </cell>
          <cell r="W57">
            <v>13.395200000000001</v>
          </cell>
          <cell r="X57">
            <v>11.15</v>
          </cell>
          <cell r="Y57">
            <v>24.545200000000001</v>
          </cell>
        </row>
        <row r="58">
          <cell r="A58" t="str">
            <v>5103-1</v>
          </cell>
          <cell r="B58">
            <v>41416</v>
          </cell>
          <cell r="C58" t="str">
            <v>2013</v>
          </cell>
          <cell r="D58" t="str">
            <v>Andy Reiter</v>
          </cell>
          <cell r="E58" t="str">
            <v>30 Wellington Street, Perth</v>
          </cell>
          <cell r="F58" t="str">
            <v>Melbourne</v>
          </cell>
          <cell r="G58" t="str">
            <v>VIC</v>
          </cell>
          <cell r="H58" t="str">
            <v>Corporate</v>
          </cell>
          <cell r="I58" t="str">
            <v>Yvette Biti</v>
          </cell>
          <cell r="J58" t="str">
            <v>Critical</v>
          </cell>
          <cell r="K58" t="str">
            <v>Smiths General Use 3-Ring Binders</v>
          </cell>
          <cell r="L58" t="str">
            <v>Office Supplies</v>
          </cell>
          <cell r="M58" t="str">
            <v>Small Box</v>
          </cell>
          <cell r="N58" t="str">
            <v>Regular Air</v>
          </cell>
          <cell r="O58">
            <v>41418</v>
          </cell>
          <cell r="P58">
            <v>1.18</v>
          </cell>
          <cell r="Q58">
            <v>1.88</v>
          </cell>
          <cell r="R58">
            <v>0.7</v>
          </cell>
          <cell r="S58">
            <v>1</v>
          </cell>
          <cell r="T58">
            <v>1.88</v>
          </cell>
          <cell r="V58">
            <v>9.4E-2</v>
          </cell>
          <cell r="W58">
            <v>1.7859999999999998</v>
          </cell>
          <cell r="X58">
            <v>1.49</v>
          </cell>
          <cell r="Y58">
            <v>3.2759999999999998</v>
          </cell>
        </row>
        <row r="59">
          <cell r="A59" t="str">
            <v>5104-1</v>
          </cell>
          <cell r="B59">
            <v>41417</v>
          </cell>
          <cell r="C59" t="str">
            <v>2013</v>
          </cell>
          <cell r="D59" t="str">
            <v>Becky Martin</v>
          </cell>
          <cell r="E59" t="str">
            <v>22 St Georges Terrace, Perth</v>
          </cell>
          <cell r="F59" t="str">
            <v>Sydney</v>
          </cell>
          <cell r="G59" t="str">
            <v>NSW</v>
          </cell>
          <cell r="H59" t="str">
            <v>Home Office</v>
          </cell>
          <cell r="I59" t="str">
            <v>Tina Carlton</v>
          </cell>
          <cell r="J59" t="str">
            <v>Medium</v>
          </cell>
          <cell r="K59" t="str">
            <v>Alto Keyboard-In-A-Box</v>
          </cell>
          <cell r="L59" t="str">
            <v>Technology</v>
          </cell>
          <cell r="M59" t="str">
            <v>Small Box</v>
          </cell>
          <cell r="N59" t="str">
            <v>Express Air</v>
          </cell>
          <cell r="O59">
            <v>41419</v>
          </cell>
          <cell r="P59">
            <v>6.4</v>
          </cell>
          <cell r="Q59">
            <v>29.1</v>
          </cell>
          <cell r="R59">
            <v>22.700000000000003</v>
          </cell>
          <cell r="S59">
            <v>33</v>
          </cell>
          <cell r="T59">
            <v>960.30000000000007</v>
          </cell>
          <cell r="V59">
            <v>9.6030000000000015</v>
          </cell>
          <cell r="W59">
            <v>950.69700000000012</v>
          </cell>
          <cell r="X59">
            <v>4</v>
          </cell>
          <cell r="Y59">
            <v>954.69700000000012</v>
          </cell>
        </row>
        <row r="60">
          <cell r="A60" t="str">
            <v>5106-1</v>
          </cell>
          <cell r="B60">
            <v>41420</v>
          </cell>
          <cell r="C60" t="str">
            <v>2013</v>
          </cell>
          <cell r="D60" t="str">
            <v>Denny Ordway</v>
          </cell>
          <cell r="E60" t="str">
            <v>523 King St,Newtown</v>
          </cell>
          <cell r="F60" t="str">
            <v>Sydney</v>
          </cell>
          <cell r="G60" t="str">
            <v>NSW</v>
          </cell>
          <cell r="H60" t="str">
            <v>Small Business</v>
          </cell>
          <cell r="I60" t="str">
            <v>Aanya Zhang</v>
          </cell>
          <cell r="J60" t="str">
            <v>Critical</v>
          </cell>
          <cell r="K60" t="str">
            <v>Artisan 48 Labels</v>
          </cell>
          <cell r="L60" t="str">
            <v>Office Supplies</v>
          </cell>
          <cell r="M60" t="str">
            <v>Small Box</v>
          </cell>
          <cell r="N60" t="str">
            <v>Regular Air</v>
          </cell>
          <cell r="O60">
            <v>41420</v>
          </cell>
          <cell r="P60">
            <v>3.84</v>
          </cell>
          <cell r="Q60">
            <v>6.3</v>
          </cell>
          <cell r="R60">
            <v>2.46</v>
          </cell>
          <cell r="S60">
            <v>42</v>
          </cell>
          <cell r="T60">
            <v>264.59999999999997</v>
          </cell>
          <cell r="V60">
            <v>18.521999999999998</v>
          </cell>
          <cell r="W60">
            <v>246.07799999999997</v>
          </cell>
          <cell r="X60">
            <v>0.5</v>
          </cell>
          <cell r="Y60">
            <v>246.57799999999997</v>
          </cell>
        </row>
        <row r="61">
          <cell r="A61" t="str">
            <v>5108-1</v>
          </cell>
          <cell r="B61">
            <v>41421</v>
          </cell>
          <cell r="C61" t="str">
            <v>2013</v>
          </cell>
          <cell r="D61" t="str">
            <v>Luke Schmidt</v>
          </cell>
          <cell r="E61" t="str">
            <v>73 York St,Sydney</v>
          </cell>
          <cell r="F61" t="str">
            <v>Sydney</v>
          </cell>
          <cell r="G61" t="str">
            <v>NSW</v>
          </cell>
          <cell r="H61" t="str">
            <v>Home Office</v>
          </cell>
          <cell r="I61" t="str">
            <v>Tina Carlton</v>
          </cell>
          <cell r="J61" t="str">
            <v>Medium</v>
          </cell>
          <cell r="K61" t="str">
            <v>UGen Ultra Professional Cordless Optical Suite</v>
          </cell>
          <cell r="L61" t="str">
            <v>Technology</v>
          </cell>
          <cell r="M61" t="str">
            <v>Small Box</v>
          </cell>
          <cell r="N61" t="str">
            <v>Regular Air</v>
          </cell>
          <cell r="O61">
            <v>41422</v>
          </cell>
          <cell r="P61">
            <v>156.5</v>
          </cell>
          <cell r="Q61">
            <v>300.97000000000003</v>
          </cell>
          <cell r="R61">
            <v>144.47000000000003</v>
          </cell>
          <cell r="S61">
            <v>14</v>
          </cell>
          <cell r="T61">
            <v>4213.58</v>
          </cell>
          <cell r="V61">
            <v>421.358</v>
          </cell>
          <cell r="W61">
            <v>3792.2219999999998</v>
          </cell>
          <cell r="X61">
            <v>7.18</v>
          </cell>
          <cell r="Y61">
            <v>3799.4019999999996</v>
          </cell>
        </row>
        <row r="62">
          <cell r="A62" t="str">
            <v>5109-1</v>
          </cell>
          <cell r="B62">
            <v>41422</v>
          </cell>
          <cell r="C62" t="str">
            <v>2013</v>
          </cell>
          <cell r="D62" t="str">
            <v>Kelly Lampkin</v>
          </cell>
          <cell r="E62" t="str">
            <v>310 Wattle St,Ultimo</v>
          </cell>
          <cell r="F62" t="str">
            <v>Sydney</v>
          </cell>
          <cell r="G62" t="str">
            <v>NSW</v>
          </cell>
          <cell r="H62" t="str">
            <v>Corporate</v>
          </cell>
          <cell r="I62" t="str">
            <v>Aanya Zhang</v>
          </cell>
          <cell r="J62" t="str">
            <v>Low</v>
          </cell>
          <cell r="K62" t="str">
            <v>OIC Colored Binder Clips, Assorted Sizes</v>
          </cell>
          <cell r="L62" t="str">
            <v>Office Supplies</v>
          </cell>
          <cell r="M62" t="str">
            <v>Wrap Bag</v>
          </cell>
          <cell r="N62" t="str">
            <v>Regular Air</v>
          </cell>
          <cell r="O62">
            <v>41426</v>
          </cell>
          <cell r="P62">
            <v>2.29</v>
          </cell>
          <cell r="Q62">
            <v>3.58</v>
          </cell>
          <cell r="R62">
            <v>1.29</v>
          </cell>
          <cell r="S62">
            <v>38</v>
          </cell>
          <cell r="T62">
            <v>136.04</v>
          </cell>
          <cell r="V62">
            <v>8.1623999999999999</v>
          </cell>
          <cell r="W62">
            <v>127.87759999999999</v>
          </cell>
          <cell r="X62">
            <v>1.63</v>
          </cell>
          <cell r="Y62">
            <v>129.5076</v>
          </cell>
        </row>
        <row r="63">
          <cell r="A63" t="str">
            <v>5111-1</v>
          </cell>
          <cell r="B63">
            <v>41423</v>
          </cell>
          <cell r="C63" t="str">
            <v>2013</v>
          </cell>
          <cell r="D63" t="str">
            <v>Eugene Moren</v>
          </cell>
          <cell r="E63" t="str">
            <v>14/76 Newcastle Street</v>
          </cell>
          <cell r="F63" t="str">
            <v>Perth</v>
          </cell>
          <cell r="G63" t="str">
            <v>WA</v>
          </cell>
          <cell r="H63" t="str">
            <v>Home Office</v>
          </cell>
          <cell r="I63" t="str">
            <v>Mihael Khan</v>
          </cell>
          <cell r="J63" t="str">
            <v>High</v>
          </cell>
          <cell r="K63" t="str">
            <v>Colored Envelopes</v>
          </cell>
          <cell r="L63" t="str">
            <v>Office Supplies</v>
          </cell>
          <cell r="M63" t="str">
            <v>Small Box</v>
          </cell>
          <cell r="N63" t="str">
            <v>Express Air</v>
          </cell>
          <cell r="O63">
            <v>41423</v>
          </cell>
          <cell r="P63">
            <v>2.25</v>
          </cell>
          <cell r="Q63">
            <v>3.69</v>
          </cell>
          <cell r="R63">
            <v>1.44</v>
          </cell>
          <cell r="S63">
            <v>35</v>
          </cell>
          <cell r="T63">
            <v>129.15</v>
          </cell>
          <cell r="V63">
            <v>3.8744999999999998</v>
          </cell>
          <cell r="W63">
            <v>125.27550000000001</v>
          </cell>
          <cell r="X63">
            <v>2.5</v>
          </cell>
          <cell r="Y63">
            <v>127.77550000000001</v>
          </cell>
        </row>
        <row r="64">
          <cell r="A64" t="str">
            <v>5112-1</v>
          </cell>
          <cell r="B64">
            <v>41423</v>
          </cell>
          <cell r="C64" t="str">
            <v>2013</v>
          </cell>
          <cell r="D64" t="str">
            <v>Anthony Rawles</v>
          </cell>
          <cell r="E64" t="str">
            <v>14 Money Street, Perth</v>
          </cell>
          <cell r="F64" t="str">
            <v>Perth</v>
          </cell>
          <cell r="G64" t="str">
            <v>WA</v>
          </cell>
          <cell r="H64" t="str">
            <v>Small Business</v>
          </cell>
          <cell r="I64" t="str">
            <v>Mihael Khan</v>
          </cell>
          <cell r="J64" t="str">
            <v>Medium</v>
          </cell>
          <cell r="K64" t="str">
            <v>Xit Blank Computer Paper</v>
          </cell>
          <cell r="L64" t="str">
            <v>Office Supplies</v>
          </cell>
          <cell r="M64" t="str">
            <v>Small Box</v>
          </cell>
          <cell r="N64" t="str">
            <v>Express Air</v>
          </cell>
          <cell r="O64">
            <v>41423</v>
          </cell>
          <cell r="P64">
            <v>12.39</v>
          </cell>
          <cell r="Q64">
            <v>19.98</v>
          </cell>
          <cell r="R64">
            <v>7.59</v>
          </cell>
          <cell r="S64">
            <v>13</v>
          </cell>
          <cell r="T64">
            <v>259.74</v>
          </cell>
          <cell r="V64">
            <v>25.974000000000004</v>
          </cell>
          <cell r="W64">
            <v>233.76600000000002</v>
          </cell>
          <cell r="X64">
            <v>5.77</v>
          </cell>
          <cell r="Y64">
            <v>239.53600000000003</v>
          </cell>
        </row>
        <row r="65">
          <cell r="A65" t="str">
            <v>5113-1</v>
          </cell>
          <cell r="B65">
            <v>41425</v>
          </cell>
          <cell r="C65" t="str">
            <v>2013</v>
          </cell>
          <cell r="D65" t="str">
            <v>Rick Duston</v>
          </cell>
          <cell r="E65" t="str">
            <v>260 Marrickville Rd,Marrickville</v>
          </cell>
          <cell r="F65" t="str">
            <v>Sydney</v>
          </cell>
          <cell r="G65" t="str">
            <v>NSW</v>
          </cell>
          <cell r="H65" t="str">
            <v>Corporate</v>
          </cell>
          <cell r="I65" t="str">
            <v>Nicholas Fernandes</v>
          </cell>
          <cell r="J65" t="str">
            <v>Medium</v>
          </cell>
          <cell r="K65" t="str">
            <v>Alto Perma 2700 Stacking Storage Drawers</v>
          </cell>
          <cell r="L65" t="str">
            <v>Office Supplies</v>
          </cell>
          <cell r="M65" t="str">
            <v>Small Box</v>
          </cell>
          <cell r="N65" t="str">
            <v>Regular Air</v>
          </cell>
          <cell r="O65">
            <v>41425</v>
          </cell>
          <cell r="P65">
            <v>8.92</v>
          </cell>
          <cell r="Q65">
            <v>29.74</v>
          </cell>
          <cell r="R65">
            <v>20.82</v>
          </cell>
          <cell r="S65">
            <v>14</v>
          </cell>
          <cell r="T65">
            <v>416.35999999999996</v>
          </cell>
          <cell r="V65">
            <v>8.3271999999999995</v>
          </cell>
          <cell r="W65">
            <v>408.03279999999995</v>
          </cell>
          <cell r="X65">
            <v>6.64</v>
          </cell>
          <cell r="Y65">
            <v>414.67279999999994</v>
          </cell>
        </row>
        <row r="66">
          <cell r="A66" t="str">
            <v>5114-1</v>
          </cell>
          <cell r="B66">
            <v>41425</v>
          </cell>
          <cell r="C66" t="str">
            <v>2013</v>
          </cell>
          <cell r="D66" t="str">
            <v>Raymond Fair</v>
          </cell>
          <cell r="E66" t="str">
            <v>188 Pitt Street,Sydney</v>
          </cell>
          <cell r="F66" t="str">
            <v>Sydney</v>
          </cell>
          <cell r="G66" t="str">
            <v>NSW</v>
          </cell>
          <cell r="H66" t="str">
            <v>Small Business</v>
          </cell>
          <cell r="I66" t="str">
            <v>Tina Carlton</v>
          </cell>
          <cell r="J66" t="str">
            <v>Not Specified</v>
          </cell>
          <cell r="K66" t="str">
            <v>TechSavi Cordless Elite Duo</v>
          </cell>
          <cell r="L66" t="str">
            <v>Technology</v>
          </cell>
          <cell r="M66" t="str">
            <v>Small Box</v>
          </cell>
          <cell r="N66" t="str">
            <v>Regular Air</v>
          </cell>
          <cell r="O66">
            <v>41427</v>
          </cell>
          <cell r="P66">
            <v>60.59</v>
          </cell>
          <cell r="Q66">
            <v>100.98</v>
          </cell>
          <cell r="R66">
            <v>40.39</v>
          </cell>
          <cell r="S66">
            <v>33</v>
          </cell>
          <cell r="T66">
            <v>3332.34</v>
          </cell>
          <cell r="V66">
            <v>166.61700000000002</v>
          </cell>
          <cell r="W66">
            <v>3165.723</v>
          </cell>
          <cell r="X66">
            <v>7.18</v>
          </cell>
          <cell r="Y66">
            <v>3172.9029999999998</v>
          </cell>
        </row>
        <row r="67">
          <cell r="A67" t="str">
            <v>5115-1</v>
          </cell>
          <cell r="B67">
            <v>41425</v>
          </cell>
          <cell r="C67" t="str">
            <v>2013</v>
          </cell>
          <cell r="D67" t="str">
            <v>Joy Smith</v>
          </cell>
          <cell r="E67" t="str">
            <v>221 Barkly St,St Kilda</v>
          </cell>
          <cell r="F67" t="str">
            <v>Melbourne</v>
          </cell>
          <cell r="G67" t="str">
            <v>VIC</v>
          </cell>
          <cell r="H67" t="str">
            <v>Consumer</v>
          </cell>
          <cell r="I67" t="str">
            <v>Yvette Biti</v>
          </cell>
          <cell r="J67" t="str">
            <v>Low</v>
          </cell>
          <cell r="K67" t="str">
            <v>Wirebound Message Book, 4 per Page</v>
          </cell>
          <cell r="L67" t="str">
            <v>Office Supplies</v>
          </cell>
          <cell r="M67" t="str">
            <v>Wrap Bag</v>
          </cell>
          <cell r="N67" t="str">
            <v>Regular Air</v>
          </cell>
          <cell r="O67">
            <v>41429</v>
          </cell>
          <cell r="P67">
            <v>3.48</v>
          </cell>
          <cell r="Q67">
            <v>5.43</v>
          </cell>
          <cell r="R67">
            <v>1.9499999999999997</v>
          </cell>
          <cell r="S67">
            <v>29</v>
          </cell>
          <cell r="T67">
            <v>157.47</v>
          </cell>
          <cell r="V67">
            <v>11.022900000000002</v>
          </cell>
          <cell r="W67">
            <v>146.44710000000001</v>
          </cell>
          <cell r="X67">
            <v>0.95</v>
          </cell>
          <cell r="Y67">
            <v>147.39709999999999</v>
          </cell>
        </row>
        <row r="68">
          <cell r="A68" t="str">
            <v>5117-1</v>
          </cell>
          <cell r="B68">
            <v>41427</v>
          </cell>
          <cell r="C68" t="str">
            <v>2013</v>
          </cell>
          <cell r="D68" t="str">
            <v>Jim Epp</v>
          </cell>
          <cell r="E68" t="str">
            <v>Macquarie Centre Cnr Herring Road &amp; Waterloo Road,Macquarie Park</v>
          </cell>
          <cell r="F68" t="str">
            <v>Sydney</v>
          </cell>
          <cell r="G68" t="str">
            <v>NSW</v>
          </cell>
          <cell r="H68" t="str">
            <v>Small Business</v>
          </cell>
          <cell r="I68" t="str">
            <v>Nicholas Fernandes</v>
          </cell>
          <cell r="J68" t="str">
            <v>Low</v>
          </cell>
          <cell r="K68" t="str">
            <v>Laser DVD-RAM discs</v>
          </cell>
          <cell r="L68" t="str">
            <v>Technology</v>
          </cell>
          <cell r="M68" t="str">
            <v>Small Pack</v>
          </cell>
          <cell r="N68" t="str">
            <v>Regular Air</v>
          </cell>
          <cell r="O68">
            <v>41429</v>
          </cell>
          <cell r="P68">
            <v>20.18</v>
          </cell>
          <cell r="Q68">
            <v>35.409999999999997</v>
          </cell>
          <cell r="R68">
            <v>15.229999999999997</v>
          </cell>
          <cell r="S68">
            <v>38</v>
          </cell>
          <cell r="T68">
            <v>1345.58</v>
          </cell>
          <cell r="V68">
            <v>40.367399999999996</v>
          </cell>
          <cell r="W68">
            <v>1305.2125999999998</v>
          </cell>
          <cell r="X68">
            <v>1.99</v>
          </cell>
          <cell r="Y68">
            <v>1307.2025999999998</v>
          </cell>
        </row>
        <row r="69">
          <cell r="A69" t="str">
            <v>5119-1</v>
          </cell>
          <cell r="B69">
            <v>41429</v>
          </cell>
          <cell r="C69" t="str">
            <v>2013</v>
          </cell>
          <cell r="D69" t="str">
            <v>Mike Vittorini</v>
          </cell>
          <cell r="E69" t="str">
            <v>211/25-29 Dixon St,Haymarket</v>
          </cell>
          <cell r="F69" t="str">
            <v>Sydney</v>
          </cell>
          <cell r="G69" t="str">
            <v>NSW</v>
          </cell>
          <cell r="H69" t="str">
            <v>Small Business</v>
          </cell>
          <cell r="I69" t="str">
            <v>Preston Senome</v>
          </cell>
          <cell r="J69" t="str">
            <v>Not Specified</v>
          </cell>
          <cell r="K69" t="str">
            <v>Artisan Hi-Liter Fluorescent Desk Style Markers</v>
          </cell>
          <cell r="L69" t="str">
            <v>Office Supplies</v>
          </cell>
          <cell r="M69" t="str">
            <v>Wrap Bag</v>
          </cell>
          <cell r="N69" t="str">
            <v>Regular Air</v>
          </cell>
          <cell r="O69">
            <v>41431</v>
          </cell>
          <cell r="P69">
            <v>1.76</v>
          </cell>
          <cell r="Q69">
            <v>3.38</v>
          </cell>
          <cell r="R69">
            <v>1.6199999999999999</v>
          </cell>
          <cell r="S69">
            <v>34</v>
          </cell>
          <cell r="T69">
            <v>114.92</v>
          </cell>
          <cell r="V69">
            <v>8.0444000000000013</v>
          </cell>
          <cell r="W69">
            <v>106.87560000000001</v>
          </cell>
          <cell r="X69">
            <v>0.85</v>
          </cell>
          <cell r="Y69">
            <v>107.7256</v>
          </cell>
        </row>
        <row r="70">
          <cell r="A70" t="str">
            <v>5120-1</v>
          </cell>
          <cell r="B70">
            <v>41430</v>
          </cell>
          <cell r="C70" t="str">
            <v>2013</v>
          </cell>
          <cell r="D70" t="str">
            <v>Neil Knudson</v>
          </cell>
          <cell r="E70" t="str">
            <v>4A Lyons St,Strathfield</v>
          </cell>
          <cell r="F70" t="str">
            <v>Sydney</v>
          </cell>
          <cell r="G70" t="str">
            <v>NSW</v>
          </cell>
          <cell r="H70" t="str">
            <v>Home Office</v>
          </cell>
          <cell r="I70" t="str">
            <v>Tina Carlton</v>
          </cell>
          <cell r="J70" t="str">
            <v>Critical</v>
          </cell>
          <cell r="K70" t="str">
            <v>Artisan Arch Ring Binders</v>
          </cell>
          <cell r="L70" t="str">
            <v>Office Supplies</v>
          </cell>
          <cell r="M70" t="str">
            <v>Small Box</v>
          </cell>
          <cell r="N70" t="str">
            <v>Express Air</v>
          </cell>
          <cell r="O70">
            <v>41432</v>
          </cell>
          <cell r="P70">
            <v>36.020000000000003</v>
          </cell>
          <cell r="Q70">
            <v>58.1</v>
          </cell>
          <cell r="R70">
            <v>22.08</v>
          </cell>
          <cell r="S70">
            <v>10</v>
          </cell>
          <cell r="T70">
            <v>581</v>
          </cell>
          <cell r="V70">
            <v>52.29</v>
          </cell>
          <cell r="W70">
            <v>528.71</v>
          </cell>
          <cell r="X70">
            <v>1.49</v>
          </cell>
          <cell r="Y70">
            <v>530.20000000000005</v>
          </cell>
        </row>
        <row r="71">
          <cell r="A71" t="str">
            <v>5122-1</v>
          </cell>
          <cell r="B71">
            <v>41430</v>
          </cell>
          <cell r="C71" t="str">
            <v>2013</v>
          </cell>
          <cell r="D71" t="str">
            <v>Deborah Brumfield</v>
          </cell>
          <cell r="E71" t="str">
            <v>501 George St,Sydney</v>
          </cell>
          <cell r="F71" t="str">
            <v>Sydney</v>
          </cell>
          <cell r="G71" t="str">
            <v>NSW</v>
          </cell>
          <cell r="H71" t="str">
            <v>Corporate</v>
          </cell>
          <cell r="I71" t="str">
            <v>Samantha Chairs</v>
          </cell>
          <cell r="J71" t="str">
            <v>Low</v>
          </cell>
          <cell r="K71" t="str">
            <v>UGen Ultra Professional Cordless Optical Suite</v>
          </cell>
          <cell r="L71" t="str">
            <v>Technology</v>
          </cell>
          <cell r="M71" t="str">
            <v>Small Box</v>
          </cell>
          <cell r="N71" t="str">
            <v>Regular Air</v>
          </cell>
          <cell r="O71">
            <v>41430</v>
          </cell>
          <cell r="P71">
            <v>156.5</v>
          </cell>
          <cell r="Q71">
            <v>300.97000000000003</v>
          </cell>
          <cell r="R71">
            <v>144.47000000000003</v>
          </cell>
          <cell r="S71">
            <v>38</v>
          </cell>
          <cell r="T71">
            <v>11436.86</v>
          </cell>
          <cell r="V71">
            <v>1029.3173999999999</v>
          </cell>
          <cell r="W71">
            <v>10407.542600000001</v>
          </cell>
          <cell r="X71">
            <v>7.18</v>
          </cell>
          <cell r="Y71">
            <v>10414.722600000001</v>
          </cell>
        </row>
        <row r="72">
          <cell r="A72" t="str">
            <v>5124-1</v>
          </cell>
          <cell r="B72">
            <v>41431</v>
          </cell>
          <cell r="C72" t="str">
            <v>2013</v>
          </cell>
          <cell r="D72" t="str">
            <v>Erica Hernandez</v>
          </cell>
          <cell r="E72" t="str">
            <v>12 Princess Hwy,Sylvania</v>
          </cell>
          <cell r="F72" t="str">
            <v>Sydney</v>
          </cell>
          <cell r="G72" t="str">
            <v>NSW</v>
          </cell>
          <cell r="H72" t="str">
            <v>Small Business</v>
          </cell>
          <cell r="I72" t="str">
            <v>Nicholas Fernandes</v>
          </cell>
          <cell r="J72" t="str">
            <v>Medium</v>
          </cell>
          <cell r="K72" t="str">
            <v>Apex Elite Stainless Steel Scissors</v>
          </cell>
          <cell r="L72" t="str">
            <v>Office Supplies</v>
          </cell>
          <cell r="M72" t="str">
            <v>Small Pack</v>
          </cell>
          <cell r="N72" t="str">
            <v>Regular Air</v>
          </cell>
          <cell r="O72">
            <v>41433</v>
          </cell>
          <cell r="P72">
            <v>3.42</v>
          </cell>
          <cell r="Q72">
            <v>8.34</v>
          </cell>
          <cell r="R72">
            <v>4.92</v>
          </cell>
          <cell r="S72">
            <v>30</v>
          </cell>
          <cell r="T72">
            <v>250.2</v>
          </cell>
          <cell r="V72">
            <v>5.0039999999999996</v>
          </cell>
          <cell r="W72">
            <v>245.196</v>
          </cell>
          <cell r="X72">
            <v>2.64</v>
          </cell>
          <cell r="Y72">
            <v>247.83599999999998</v>
          </cell>
        </row>
        <row r="73">
          <cell r="A73" t="str">
            <v>5125-1</v>
          </cell>
          <cell r="B73">
            <v>41432</v>
          </cell>
          <cell r="C73" t="str">
            <v>2013</v>
          </cell>
          <cell r="D73" t="str">
            <v>Janet Martin</v>
          </cell>
          <cell r="E73" t="str">
            <v>24 Addison Rd,Marrickville</v>
          </cell>
          <cell r="F73" t="str">
            <v>Sydney</v>
          </cell>
          <cell r="G73" t="str">
            <v>NSW</v>
          </cell>
          <cell r="H73" t="str">
            <v>Corporate</v>
          </cell>
          <cell r="I73" t="str">
            <v>Radhya Staples</v>
          </cell>
          <cell r="J73" t="str">
            <v>Not Specified</v>
          </cell>
          <cell r="K73" t="str">
            <v>TechSavi Cordless Elite Duo</v>
          </cell>
          <cell r="L73" t="str">
            <v>Technology</v>
          </cell>
          <cell r="M73" t="str">
            <v>Small Box</v>
          </cell>
          <cell r="N73" t="str">
            <v>Regular Air</v>
          </cell>
          <cell r="O73">
            <v>41433</v>
          </cell>
          <cell r="P73">
            <v>60.59</v>
          </cell>
          <cell r="Q73">
            <v>100.98</v>
          </cell>
          <cell r="R73">
            <v>40.39</v>
          </cell>
          <cell r="S73">
            <v>29</v>
          </cell>
          <cell r="T73">
            <v>2928.42</v>
          </cell>
          <cell r="V73">
            <v>87.852599999999995</v>
          </cell>
          <cell r="W73">
            <v>2840.5673999999999</v>
          </cell>
          <cell r="X73">
            <v>7.18</v>
          </cell>
          <cell r="Y73">
            <v>2847.7473999999997</v>
          </cell>
        </row>
        <row r="74">
          <cell r="A74" t="str">
            <v>5127-1</v>
          </cell>
          <cell r="B74">
            <v>41434</v>
          </cell>
          <cell r="C74" t="str">
            <v>2013</v>
          </cell>
          <cell r="D74" t="str">
            <v>Beth Thompson</v>
          </cell>
          <cell r="E74" t="str">
            <v>101 Murray Street, Perth</v>
          </cell>
          <cell r="F74" t="str">
            <v>Sydney</v>
          </cell>
          <cell r="G74" t="str">
            <v>NSW</v>
          </cell>
          <cell r="H74" t="str">
            <v>Corporate</v>
          </cell>
          <cell r="I74" t="str">
            <v>Mihael Khan</v>
          </cell>
          <cell r="J74" t="str">
            <v>Not Specified</v>
          </cell>
          <cell r="K74" t="str">
            <v>Deluxe Rollaway Locking File with Drawer</v>
          </cell>
          <cell r="L74" t="str">
            <v>Office Supplies</v>
          </cell>
          <cell r="M74" t="str">
            <v>Small Box</v>
          </cell>
          <cell r="N74" t="str">
            <v>Regular Air</v>
          </cell>
          <cell r="O74">
            <v>41434</v>
          </cell>
          <cell r="P74">
            <v>178.83</v>
          </cell>
          <cell r="Q74">
            <v>415.88</v>
          </cell>
          <cell r="R74">
            <v>237.04999999999998</v>
          </cell>
          <cell r="S74">
            <v>2</v>
          </cell>
          <cell r="T74">
            <v>831.76</v>
          </cell>
          <cell r="V74">
            <v>58.223200000000006</v>
          </cell>
          <cell r="W74">
            <v>773.53679999999997</v>
          </cell>
          <cell r="X74">
            <v>11.37</v>
          </cell>
          <cell r="Y74">
            <v>784.90679999999998</v>
          </cell>
        </row>
        <row r="75">
          <cell r="A75" t="str">
            <v>5128-1</v>
          </cell>
          <cell r="B75">
            <v>41435</v>
          </cell>
          <cell r="C75" t="str">
            <v>2013</v>
          </cell>
          <cell r="D75" t="str">
            <v>Nora Paige</v>
          </cell>
          <cell r="E75" t="str">
            <v>85-113 Dunning Ave,Roseberry</v>
          </cell>
          <cell r="F75" t="str">
            <v>Sydney</v>
          </cell>
          <cell r="G75" t="str">
            <v>NSW</v>
          </cell>
          <cell r="H75" t="str">
            <v>Small Business</v>
          </cell>
          <cell r="I75" t="str">
            <v>Mihael Khan</v>
          </cell>
          <cell r="J75" t="str">
            <v>Medium</v>
          </cell>
          <cell r="K75" t="str">
            <v>EcoTones Memo Sheets</v>
          </cell>
          <cell r="L75" t="str">
            <v>Office Supplies</v>
          </cell>
          <cell r="M75" t="str">
            <v>Wrap Bag</v>
          </cell>
          <cell r="N75" t="str">
            <v>Regular Air</v>
          </cell>
          <cell r="O75">
            <v>41437</v>
          </cell>
          <cell r="P75">
            <v>2.52</v>
          </cell>
          <cell r="Q75">
            <v>4</v>
          </cell>
          <cell r="R75">
            <v>1.48</v>
          </cell>
          <cell r="S75">
            <v>39</v>
          </cell>
          <cell r="T75">
            <v>156</v>
          </cell>
          <cell r="V75">
            <v>12.48</v>
          </cell>
          <cell r="W75">
            <v>143.52000000000001</v>
          </cell>
          <cell r="X75">
            <v>1.3</v>
          </cell>
          <cell r="Y75">
            <v>144.82000000000002</v>
          </cell>
        </row>
        <row r="76">
          <cell r="A76" t="str">
            <v>5129-1</v>
          </cell>
          <cell r="B76">
            <v>41436</v>
          </cell>
          <cell r="C76" t="str">
            <v>2013</v>
          </cell>
          <cell r="D76" t="str">
            <v>Jim Kriz</v>
          </cell>
          <cell r="E76" t="str">
            <v>85-113 Dunning Ave,Roseberry</v>
          </cell>
          <cell r="F76" t="str">
            <v>Sydney</v>
          </cell>
          <cell r="G76" t="str">
            <v>NSW</v>
          </cell>
          <cell r="H76" t="str">
            <v>Consumer</v>
          </cell>
          <cell r="I76" t="str">
            <v>Mihael Khan</v>
          </cell>
          <cell r="J76" t="str">
            <v>Low</v>
          </cell>
          <cell r="K76" t="str">
            <v>Smiths Colored Interoffice Envelopes</v>
          </cell>
          <cell r="L76" t="str">
            <v>Office Supplies</v>
          </cell>
          <cell r="M76" t="str">
            <v>Small Box</v>
          </cell>
          <cell r="N76" t="str">
            <v>Regular Air</v>
          </cell>
          <cell r="O76">
            <v>41438</v>
          </cell>
          <cell r="P76">
            <v>19.829999999999998</v>
          </cell>
          <cell r="Q76">
            <v>30.98</v>
          </cell>
          <cell r="R76">
            <v>11.150000000000002</v>
          </cell>
          <cell r="S76">
            <v>49</v>
          </cell>
          <cell r="T76">
            <v>1518.02</v>
          </cell>
          <cell r="V76">
            <v>136.62180000000001</v>
          </cell>
          <cell r="W76">
            <v>1381.3982000000001</v>
          </cell>
          <cell r="X76">
            <v>19.510000000000002</v>
          </cell>
          <cell r="Y76">
            <v>1400.9082000000001</v>
          </cell>
        </row>
        <row r="77">
          <cell r="A77" t="str">
            <v>5131-1</v>
          </cell>
          <cell r="B77">
            <v>41440</v>
          </cell>
          <cell r="C77" t="str">
            <v>2013</v>
          </cell>
          <cell r="D77" t="str">
            <v>Steve Nguyen</v>
          </cell>
          <cell r="E77" t="str">
            <v>61 York St,Sydney</v>
          </cell>
          <cell r="F77" t="str">
            <v>Sydney</v>
          </cell>
          <cell r="G77" t="str">
            <v>NSW</v>
          </cell>
          <cell r="H77" t="str">
            <v>Small Business</v>
          </cell>
          <cell r="I77" t="str">
            <v>Leighton Forrest</v>
          </cell>
          <cell r="J77" t="str">
            <v>Medium</v>
          </cell>
          <cell r="K77" t="str">
            <v>UGen Ultra Professional Cordless Optical Suite</v>
          </cell>
          <cell r="L77" t="str">
            <v>Technology</v>
          </cell>
          <cell r="M77" t="str">
            <v>Small Box</v>
          </cell>
          <cell r="N77" t="str">
            <v>Regular Air</v>
          </cell>
          <cell r="O77">
            <v>41442</v>
          </cell>
          <cell r="P77">
            <v>156.5</v>
          </cell>
          <cell r="Q77">
            <v>300.97000000000003</v>
          </cell>
          <cell r="R77">
            <v>144.47000000000003</v>
          </cell>
          <cell r="S77">
            <v>5</v>
          </cell>
          <cell r="T77">
            <v>1504.8500000000001</v>
          </cell>
          <cell r="V77">
            <v>105.33950000000002</v>
          </cell>
          <cell r="W77">
            <v>1399.5105000000001</v>
          </cell>
          <cell r="X77">
            <v>7.18</v>
          </cell>
          <cell r="Y77">
            <v>1406.6905000000002</v>
          </cell>
        </row>
        <row r="78">
          <cell r="A78" t="str">
            <v>5133-1</v>
          </cell>
          <cell r="B78">
            <v>41440</v>
          </cell>
          <cell r="C78" t="str">
            <v>2013</v>
          </cell>
          <cell r="D78" t="str">
            <v>Scott Cohen</v>
          </cell>
          <cell r="E78" t="str">
            <v>240-242 Johnston Street,Fitzroy</v>
          </cell>
          <cell r="F78" t="str">
            <v>Melbourne</v>
          </cell>
          <cell r="G78" t="str">
            <v>VIC</v>
          </cell>
          <cell r="H78" t="str">
            <v>Consumer</v>
          </cell>
          <cell r="I78" t="str">
            <v>Connor Betts</v>
          </cell>
          <cell r="J78" t="str">
            <v>High</v>
          </cell>
          <cell r="K78" t="str">
            <v>Wirebound Voice Message Log Book</v>
          </cell>
          <cell r="L78" t="str">
            <v>Office Supplies</v>
          </cell>
          <cell r="M78" t="str">
            <v>Wrap Bag</v>
          </cell>
          <cell r="N78" t="str">
            <v>Express Air</v>
          </cell>
          <cell r="O78">
            <v>41442</v>
          </cell>
          <cell r="P78">
            <v>2.9</v>
          </cell>
          <cell r="Q78">
            <v>4.76</v>
          </cell>
          <cell r="R78">
            <v>1.8599999999999999</v>
          </cell>
          <cell r="S78">
            <v>27</v>
          </cell>
          <cell r="T78">
            <v>128.51999999999998</v>
          </cell>
          <cell r="V78">
            <v>8.9963999999999995</v>
          </cell>
          <cell r="W78">
            <v>119.52359999999999</v>
          </cell>
          <cell r="X78">
            <v>0.88</v>
          </cell>
          <cell r="Y78">
            <v>120.40359999999998</v>
          </cell>
        </row>
        <row r="79">
          <cell r="A79" t="str">
            <v>5134-1</v>
          </cell>
          <cell r="B79">
            <v>41441</v>
          </cell>
          <cell r="C79" t="str">
            <v>2013</v>
          </cell>
          <cell r="D79" t="str">
            <v>Liz MacKendrick</v>
          </cell>
          <cell r="E79" t="str">
            <v>224A Gertrude St,Fitzroy</v>
          </cell>
          <cell r="F79" t="str">
            <v>Melbourne</v>
          </cell>
          <cell r="G79" t="str">
            <v>VIC</v>
          </cell>
          <cell r="H79" t="str">
            <v>Corporate</v>
          </cell>
          <cell r="I79" t="str">
            <v>Connor Betts</v>
          </cell>
          <cell r="J79" t="str">
            <v>Low</v>
          </cell>
          <cell r="K79" t="str">
            <v>UGen Ultra Professional Cordless Optical Suite</v>
          </cell>
          <cell r="L79" t="str">
            <v>Technology</v>
          </cell>
          <cell r="M79" t="str">
            <v>Small Box</v>
          </cell>
          <cell r="N79" t="str">
            <v>Regular Air</v>
          </cell>
          <cell r="O79">
            <v>41441</v>
          </cell>
          <cell r="P79">
            <v>156.5</v>
          </cell>
          <cell r="Q79">
            <v>300.97000000000003</v>
          </cell>
          <cell r="R79">
            <v>144.47000000000003</v>
          </cell>
          <cell r="S79">
            <v>1</v>
          </cell>
          <cell r="T79">
            <v>300.97000000000003</v>
          </cell>
          <cell r="V79">
            <v>18.058199999999999</v>
          </cell>
          <cell r="W79">
            <v>282.91180000000003</v>
          </cell>
          <cell r="X79">
            <v>7.18</v>
          </cell>
          <cell r="Y79">
            <v>290.09180000000003</v>
          </cell>
        </row>
        <row r="80">
          <cell r="A80" t="str">
            <v>5135-1</v>
          </cell>
          <cell r="B80">
            <v>41445</v>
          </cell>
          <cell r="C80" t="str">
            <v>2013</v>
          </cell>
          <cell r="D80" t="str">
            <v>Aaron Smayling</v>
          </cell>
          <cell r="E80" t="str">
            <v>1737 Botany Rd,Banksmeadow</v>
          </cell>
          <cell r="F80" t="str">
            <v>Sydney</v>
          </cell>
          <cell r="G80" t="str">
            <v>NSW</v>
          </cell>
          <cell r="H80" t="str">
            <v>Small Business</v>
          </cell>
          <cell r="I80" t="str">
            <v>Nicholas Fernandes</v>
          </cell>
          <cell r="J80" t="str">
            <v>Medium</v>
          </cell>
          <cell r="K80" t="str">
            <v>OIC Colored Binder Clips, Assorted Sizes</v>
          </cell>
          <cell r="L80" t="str">
            <v>Office Supplies</v>
          </cell>
          <cell r="M80" t="str">
            <v>Wrap Bag</v>
          </cell>
          <cell r="N80" t="str">
            <v>Regular Air</v>
          </cell>
          <cell r="O80">
            <v>41446</v>
          </cell>
          <cell r="P80">
            <v>2.29</v>
          </cell>
          <cell r="Q80">
            <v>3.58</v>
          </cell>
          <cell r="R80">
            <v>1.29</v>
          </cell>
          <cell r="S80">
            <v>10</v>
          </cell>
          <cell r="T80">
            <v>35.799999999999997</v>
          </cell>
          <cell r="V80">
            <v>1.79</v>
          </cell>
          <cell r="W80">
            <v>34.01</v>
          </cell>
          <cell r="X80">
            <v>1.63</v>
          </cell>
          <cell r="Y80">
            <v>35.64</v>
          </cell>
        </row>
        <row r="81">
          <cell r="A81" t="str">
            <v>5137-1</v>
          </cell>
          <cell r="B81">
            <v>41446</v>
          </cell>
          <cell r="C81" t="str">
            <v>2013</v>
          </cell>
          <cell r="D81" t="str">
            <v>Carlos Meador</v>
          </cell>
          <cell r="E81" t="str">
            <v>152 Bunnerong Road,Eastgardens</v>
          </cell>
          <cell r="F81" t="str">
            <v>Sydney</v>
          </cell>
          <cell r="G81" t="str">
            <v>NSW</v>
          </cell>
          <cell r="H81" t="str">
            <v>Corporate</v>
          </cell>
          <cell r="I81" t="str">
            <v>Tina Carlton</v>
          </cell>
          <cell r="J81" t="str">
            <v>Medium</v>
          </cell>
          <cell r="K81" t="str">
            <v>Multimedia Mailers</v>
          </cell>
          <cell r="L81" t="str">
            <v>Office Supplies</v>
          </cell>
          <cell r="M81" t="str">
            <v>Small Box</v>
          </cell>
          <cell r="N81" t="str">
            <v>Regular Air</v>
          </cell>
          <cell r="O81">
            <v>41447</v>
          </cell>
          <cell r="P81">
            <v>99.39</v>
          </cell>
          <cell r="Q81">
            <v>162.93</v>
          </cell>
          <cell r="R81">
            <v>63.540000000000006</v>
          </cell>
          <cell r="S81">
            <v>7</v>
          </cell>
          <cell r="T81">
            <v>1140.51</v>
          </cell>
          <cell r="V81">
            <v>34.215299999999999</v>
          </cell>
          <cell r="W81">
            <v>1106.2946999999999</v>
          </cell>
          <cell r="X81">
            <v>19.989999999999998</v>
          </cell>
          <cell r="Y81">
            <v>1126.2846999999999</v>
          </cell>
        </row>
        <row r="82">
          <cell r="A82" t="str">
            <v>5138-1</v>
          </cell>
          <cell r="B82">
            <v>41446</v>
          </cell>
          <cell r="C82" t="str">
            <v>2013</v>
          </cell>
          <cell r="D82" t="str">
            <v>Giulietta Dortch</v>
          </cell>
          <cell r="E82" t="str">
            <v>180 High Street,Windsor</v>
          </cell>
          <cell r="F82" t="str">
            <v>Melbourne</v>
          </cell>
          <cell r="G82" t="str">
            <v>VIC</v>
          </cell>
          <cell r="H82" t="str">
            <v>Small Business</v>
          </cell>
          <cell r="I82" t="str">
            <v>Connor Betts</v>
          </cell>
          <cell r="J82" t="str">
            <v>High</v>
          </cell>
          <cell r="K82" t="str">
            <v>Smiths Metal Binder Clips</v>
          </cell>
          <cell r="L82" t="str">
            <v>Office Supplies</v>
          </cell>
          <cell r="M82" t="str">
            <v>Wrap Bag</v>
          </cell>
          <cell r="N82" t="str">
            <v>Express Air</v>
          </cell>
          <cell r="O82">
            <v>41448</v>
          </cell>
          <cell r="P82">
            <v>1.6</v>
          </cell>
          <cell r="Q82">
            <v>2.62</v>
          </cell>
          <cell r="R82">
            <v>1.02</v>
          </cell>
          <cell r="S82">
            <v>34</v>
          </cell>
          <cell r="T82">
            <v>89.08</v>
          </cell>
          <cell r="V82">
            <v>7.1264000000000003</v>
          </cell>
          <cell r="W82">
            <v>81.953599999999994</v>
          </cell>
          <cell r="X82">
            <v>0.8</v>
          </cell>
          <cell r="Y82">
            <v>82.753599999999992</v>
          </cell>
        </row>
        <row r="83">
          <cell r="A83" t="str">
            <v>5140-1</v>
          </cell>
          <cell r="B83">
            <v>41449</v>
          </cell>
          <cell r="C83" t="str">
            <v>2013</v>
          </cell>
          <cell r="D83" t="str">
            <v>Paul Lucas</v>
          </cell>
          <cell r="E83" t="str">
            <v>8 Quay Street,Haymarket</v>
          </cell>
          <cell r="F83" t="str">
            <v>Sydney</v>
          </cell>
          <cell r="G83" t="str">
            <v>NSW</v>
          </cell>
          <cell r="H83" t="str">
            <v>Corporate</v>
          </cell>
          <cell r="I83" t="str">
            <v>Leighton Forrest</v>
          </cell>
          <cell r="J83" t="str">
            <v>High</v>
          </cell>
          <cell r="K83" t="str">
            <v>3Max Organizer Strips</v>
          </cell>
          <cell r="L83" t="str">
            <v>Office Supplies</v>
          </cell>
          <cell r="M83" t="str">
            <v>Small Box</v>
          </cell>
          <cell r="N83" t="str">
            <v>Regular Air</v>
          </cell>
          <cell r="O83">
            <v>41450</v>
          </cell>
          <cell r="P83">
            <v>3.4</v>
          </cell>
          <cell r="Q83">
            <v>5.4</v>
          </cell>
          <cell r="R83">
            <v>2.0000000000000004</v>
          </cell>
          <cell r="S83">
            <v>25</v>
          </cell>
          <cell r="T83">
            <v>135</v>
          </cell>
          <cell r="V83">
            <v>12.15</v>
          </cell>
          <cell r="W83">
            <v>122.85</v>
          </cell>
          <cell r="X83">
            <v>7.78</v>
          </cell>
          <cell r="Y83">
            <v>130.63</v>
          </cell>
        </row>
        <row r="84">
          <cell r="A84" t="str">
            <v>5142-1</v>
          </cell>
          <cell r="B84">
            <v>41450</v>
          </cell>
          <cell r="C84" t="str">
            <v>2013</v>
          </cell>
          <cell r="D84" t="str">
            <v>Aleksandra Gannaway</v>
          </cell>
          <cell r="E84" t="str">
            <v>508/130 Mounts Bay Road, Perth</v>
          </cell>
          <cell r="F84" t="str">
            <v>Perth</v>
          </cell>
          <cell r="G84" t="str">
            <v>WA</v>
          </cell>
          <cell r="H84" t="str">
            <v>Home Office</v>
          </cell>
          <cell r="I84" t="str">
            <v>Tina Carlton</v>
          </cell>
          <cell r="J84" t="str">
            <v>High</v>
          </cell>
          <cell r="K84" t="str">
            <v>PastelOcean Color Pencil Set</v>
          </cell>
          <cell r="L84" t="str">
            <v>Office Supplies</v>
          </cell>
          <cell r="M84" t="str">
            <v>Wrap Bag</v>
          </cell>
          <cell r="N84" t="str">
            <v>Regular Air</v>
          </cell>
          <cell r="O84">
            <v>41451</v>
          </cell>
          <cell r="P84">
            <v>11.11</v>
          </cell>
          <cell r="Q84">
            <v>19.84</v>
          </cell>
          <cell r="R84">
            <v>8.73</v>
          </cell>
          <cell r="S84">
            <v>26</v>
          </cell>
          <cell r="T84">
            <v>515.84</v>
          </cell>
          <cell r="V84">
            <v>36.108800000000002</v>
          </cell>
          <cell r="W84">
            <v>479.73120000000006</v>
          </cell>
          <cell r="X84">
            <v>4.0999999999999996</v>
          </cell>
          <cell r="Y84">
            <v>483.83120000000008</v>
          </cell>
        </row>
        <row r="85">
          <cell r="A85" t="str">
            <v>5144-1</v>
          </cell>
          <cell r="B85">
            <v>41451</v>
          </cell>
          <cell r="C85" t="str">
            <v>2013</v>
          </cell>
          <cell r="D85" t="str">
            <v>Roy Collins</v>
          </cell>
          <cell r="E85" t="str">
            <v>6 Brookman Street</v>
          </cell>
          <cell r="F85" t="str">
            <v>Perth</v>
          </cell>
          <cell r="G85" t="str">
            <v>WA</v>
          </cell>
          <cell r="H85" t="str">
            <v>Corporate</v>
          </cell>
          <cell r="I85" t="str">
            <v>Natasha Song</v>
          </cell>
          <cell r="J85" t="str">
            <v>Critical</v>
          </cell>
          <cell r="K85" t="str">
            <v>Smiths Gold Paper Clips</v>
          </cell>
          <cell r="L85" t="str">
            <v>Office Supplies</v>
          </cell>
          <cell r="M85" t="str">
            <v>Wrap Bag</v>
          </cell>
          <cell r="N85" t="str">
            <v>Regular Air</v>
          </cell>
          <cell r="O85">
            <v>41452</v>
          </cell>
          <cell r="P85">
            <v>1.82</v>
          </cell>
          <cell r="Q85">
            <v>2.98</v>
          </cell>
          <cell r="R85">
            <v>1.1599999999999999</v>
          </cell>
          <cell r="S85">
            <v>3</v>
          </cell>
          <cell r="T85">
            <v>8.94</v>
          </cell>
          <cell r="V85">
            <v>0.80459999999999987</v>
          </cell>
          <cell r="W85">
            <v>8.1353999999999989</v>
          </cell>
          <cell r="X85">
            <v>1.58</v>
          </cell>
          <cell r="Y85">
            <v>9.7153999999999989</v>
          </cell>
        </row>
        <row r="86">
          <cell r="A86" t="str">
            <v>5148-1</v>
          </cell>
          <cell r="B86">
            <v>41454</v>
          </cell>
          <cell r="C86" t="str">
            <v>2013</v>
          </cell>
          <cell r="D86" t="str">
            <v>Eugene Hildebrand</v>
          </cell>
          <cell r="E86" t="str">
            <v>120 Hardware St,Melbourne</v>
          </cell>
          <cell r="F86" t="str">
            <v>Melbourne</v>
          </cell>
          <cell r="G86" t="str">
            <v>VIC</v>
          </cell>
          <cell r="H86" t="str">
            <v>Home Office</v>
          </cell>
          <cell r="I86" t="str">
            <v>Yvette Biti</v>
          </cell>
          <cell r="J86" t="str">
            <v>Medium</v>
          </cell>
          <cell r="K86" t="str">
            <v>Economy Binders</v>
          </cell>
          <cell r="L86" t="str">
            <v>Office Supplies</v>
          </cell>
          <cell r="M86" t="str">
            <v>Small Box</v>
          </cell>
          <cell r="N86" t="str">
            <v>Regular Air</v>
          </cell>
          <cell r="O86">
            <v>41456</v>
          </cell>
          <cell r="P86">
            <v>1.33</v>
          </cell>
          <cell r="Q86">
            <v>2.08</v>
          </cell>
          <cell r="R86">
            <v>0.75</v>
          </cell>
          <cell r="S86">
            <v>44</v>
          </cell>
          <cell r="T86">
            <v>91.52000000000001</v>
          </cell>
          <cell r="V86">
            <v>3.6608000000000005</v>
          </cell>
          <cell r="W86">
            <v>87.859200000000016</v>
          </cell>
          <cell r="X86">
            <v>1.49</v>
          </cell>
          <cell r="Y86">
            <v>89.34920000000001</v>
          </cell>
        </row>
        <row r="87">
          <cell r="A87" t="str">
            <v>5150-1</v>
          </cell>
          <cell r="B87">
            <v>41454</v>
          </cell>
          <cell r="C87" t="str">
            <v>2013</v>
          </cell>
          <cell r="D87" t="str">
            <v>Adam Bellavance</v>
          </cell>
          <cell r="E87" t="str">
            <v>106 Ebley Street,Bondi Junction</v>
          </cell>
          <cell r="F87" t="str">
            <v>Sydney</v>
          </cell>
          <cell r="G87" t="str">
            <v>NSW</v>
          </cell>
          <cell r="H87" t="str">
            <v>Small Business</v>
          </cell>
          <cell r="I87" t="str">
            <v>Leighton Forrest</v>
          </cell>
          <cell r="J87" t="str">
            <v>Not Specified</v>
          </cell>
          <cell r="K87" t="str">
            <v>HFX 6S Scientific Calculator</v>
          </cell>
          <cell r="L87" t="str">
            <v>Technology</v>
          </cell>
          <cell r="M87" t="str">
            <v>Medium Box</v>
          </cell>
          <cell r="N87" t="str">
            <v>Regular Air</v>
          </cell>
          <cell r="O87">
            <v>41456</v>
          </cell>
          <cell r="P87">
            <v>7.92</v>
          </cell>
          <cell r="Q87">
            <v>12.99</v>
          </cell>
          <cell r="R87">
            <v>5.07</v>
          </cell>
          <cell r="S87">
            <v>49</v>
          </cell>
          <cell r="T87">
            <v>636.51</v>
          </cell>
          <cell r="V87">
            <v>44.555700000000002</v>
          </cell>
          <cell r="W87">
            <v>591.95429999999999</v>
          </cell>
          <cell r="X87">
            <v>9.44</v>
          </cell>
          <cell r="Y87">
            <v>601.39430000000004</v>
          </cell>
        </row>
        <row r="88">
          <cell r="A88" t="str">
            <v>5152-1</v>
          </cell>
          <cell r="B88">
            <v>41455</v>
          </cell>
          <cell r="C88" t="str">
            <v>2013</v>
          </cell>
          <cell r="D88" t="str">
            <v>Mitch Gastineau</v>
          </cell>
          <cell r="E88" t="str">
            <v>85-113 Dunning Ave,Rosebery</v>
          </cell>
          <cell r="F88" t="str">
            <v>Sydney</v>
          </cell>
          <cell r="G88" t="str">
            <v>NSW</v>
          </cell>
          <cell r="H88" t="str">
            <v>Small Business</v>
          </cell>
          <cell r="I88" t="str">
            <v>Mihael Khan</v>
          </cell>
          <cell r="J88" t="str">
            <v>Low</v>
          </cell>
          <cell r="K88" t="str">
            <v>Beekin 105-Key Black Keyboard</v>
          </cell>
          <cell r="L88" t="str">
            <v>Technology</v>
          </cell>
          <cell r="M88" t="str">
            <v>Small Box</v>
          </cell>
          <cell r="N88" t="str">
            <v>Regular Air</v>
          </cell>
          <cell r="O88">
            <v>41459</v>
          </cell>
          <cell r="P88">
            <v>6.39</v>
          </cell>
          <cell r="Q88">
            <v>19.98</v>
          </cell>
          <cell r="R88">
            <v>13.59</v>
          </cell>
          <cell r="S88">
            <v>19</v>
          </cell>
          <cell r="T88">
            <v>379.62</v>
          </cell>
          <cell r="V88">
            <v>30.369600000000002</v>
          </cell>
          <cell r="W88">
            <v>349.25040000000001</v>
          </cell>
          <cell r="X88">
            <v>4</v>
          </cell>
          <cell r="Y88">
            <v>353.25040000000001</v>
          </cell>
        </row>
        <row r="89">
          <cell r="A89" t="str">
            <v>5154-1</v>
          </cell>
          <cell r="B89">
            <v>41457</v>
          </cell>
          <cell r="C89" t="str">
            <v>2013</v>
          </cell>
          <cell r="D89" t="str">
            <v>Stuart Calhoun</v>
          </cell>
          <cell r="E89" t="str">
            <v>359 Crown Street,Surry Hills</v>
          </cell>
          <cell r="F89" t="str">
            <v>Sydney</v>
          </cell>
          <cell r="G89" t="str">
            <v>NSW</v>
          </cell>
          <cell r="H89" t="str">
            <v>Consumer</v>
          </cell>
          <cell r="I89" t="str">
            <v>Phoebe Gour</v>
          </cell>
          <cell r="J89" t="str">
            <v>High</v>
          </cell>
          <cell r="K89" t="str">
            <v>Laser Neon Mac Format Diskettes, 10/Pack</v>
          </cell>
          <cell r="L89" t="str">
            <v>Technology</v>
          </cell>
          <cell r="M89" t="str">
            <v>Small Pack</v>
          </cell>
          <cell r="N89" t="str">
            <v>Express Air</v>
          </cell>
          <cell r="O89">
            <v>41458</v>
          </cell>
          <cell r="P89">
            <v>1.87</v>
          </cell>
          <cell r="Q89">
            <v>8.1199999999999992</v>
          </cell>
          <cell r="R89">
            <v>6.2499999999999991</v>
          </cell>
          <cell r="S89">
            <v>32</v>
          </cell>
          <cell r="T89">
            <v>259.83999999999997</v>
          </cell>
          <cell r="V89">
            <v>20.787199999999999</v>
          </cell>
          <cell r="W89">
            <v>239.05279999999999</v>
          </cell>
          <cell r="X89">
            <v>2.83</v>
          </cell>
          <cell r="Y89">
            <v>241.8828</v>
          </cell>
        </row>
        <row r="90">
          <cell r="A90" t="str">
            <v>5156-1</v>
          </cell>
          <cell r="B90">
            <v>41458</v>
          </cell>
          <cell r="C90" t="str">
            <v>2013</v>
          </cell>
          <cell r="D90" t="str">
            <v>Denise Leinenbach</v>
          </cell>
          <cell r="E90" t="str">
            <v>8 Rankins Lane ,Melbourne</v>
          </cell>
          <cell r="F90" t="str">
            <v>Melbourne</v>
          </cell>
          <cell r="G90" t="str">
            <v>VIC</v>
          </cell>
          <cell r="H90" t="str">
            <v>Home Office</v>
          </cell>
          <cell r="I90" t="str">
            <v>Connor Betts</v>
          </cell>
          <cell r="J90" t="str">
            <v>High</v>
          </cell>
          <cell r="K90" t="str">
            <v>Self-Adhesive Removable Labels</v>
          </cell>
          <cell r="L90" t="str">
            <v>Office Supplies</v>
          </cell>
          <cell r="M90" t="str">
            <v>Small Box</v>
          </cell>
          <cell r="N90" t="str">
            <v>Regular Air</v>
          </cell>
          <cell r="O90">
            <v>41460</v>
          </cell>
          <cell r="P90">
            <v>1.98</v>
          </cell>
          <cell r="Q90">
            <v>3.15</v>
          </cell>
          <cell r="R90">
            <v>1.17</v>
          </cell>
          <cell r="S90">
            <v>23</v>
          </cell>
          <cell r="T90">
            <v>72.45</v>
          </cell>
          <cell r="V90">
            <v>0.72450000000000003</v>
          </cell>
          <cell r="W90">
            <v>71.725499999999997</v>
          </cell>
          <cell r="X90">
            <v>0.49</v>
          </cell>
          <cell r="Y90">
            <v>72.215499999999992</v>
          </cell>
        </row>
        <row r="91">
          <cell r="A91" t="str">
            <v>5158-1</v>
          </cell>
          <cell r="B91">
            <v>41458</v>
          </cell>
          <cell r="C91" t="str">
            <v>2013</v>
          </cell>
          <cell r="D91" t="str">
            <v>Mitch Webber</v>
          </cell>
          <cell r="E91" t="str">
            <v>Hoyts Entertainment Quarter 122 Lang Road,Moore Park</v>
          </cell>
          <cell r="F91" t="str">
            <v>Sydney</v>
          </cell>
          <cell r="G91" t="str">
            <v>NSW</v>
          </cell>
          <cell r="H91" t="str">
            <v>Corporate</v>
          </cell>
          <cell r="I91" t="str">
            <v>Tina Carlton</v>
          </cell>
          <cell r="J91" t="str">
            <v>Not Specified</v>
          </cell>
          <cell r="K91" t="str">
            <v>TypeRight  Top-Opening Peel &amp; Seel Envelopes, Plain White</v>
          </cell>
          <cell r="L91" t="str">
            <v>Office Supplies</v>
          </cell>
          <cell r="M91" t="str">
            <v>Small Box</v>
          </cell>
          <cell r="N91" t="str">
            <v>Regular Air</v>
          </cell>
          <cell r="O91">
            <v>41460</v>
          </cell>
          <cell r="P91">
            <v>16.850000000000001</v>
          </cell>
          <cell r="Q91">
            <v>27.18</v>
          </cell>
          <cell r="R91">
            <v>10.329999999999998</v>
          </cell>
          <cell r="S91">
            <v>34</v>
          </cell>
          <cell r="T91">
            <v>924.12</v>
          </cell>
          <cell r="V91">
            <v>92.412000000000006</v>
          </cell>
          <cell r="W91">
            <v>831.70799999999997</v>
          </cell>
          <cell r="X91">
            <v>8.23</v>
          </cell>
          <cell r="Y91">
            <v>839.93799999999999</v>
          </cell>
        </row>
        <row r="92">
          <cell r="A92" t="str">
            <v>5159-1</v>
          </cell>
          <cell r="B92">
            <v>41459</v>
          </cell>
          <cell r="C92" t="str">
            <v>2013</v>
          </cell>
          <cell r="D92" t="str">
            <v>Sara Luxemburg</v>
          </cell>
          <cell r="E92" t="str">
            <v>180 High Street,Windsor</v>
          </cell>
          <cell r="F92" t="str">
            <v>Melbourne</v>
          </cell>
          <cell r="G92" t="str">
            <v>VIC</v>
          </cell>
          <cell r="H92" t="str">
            <v>Small Business</v>
          </cell>
          <cell r="I92" t="str">
            <v>Connor Betts</v>
          </cell>
          <cell r="J92" t="str">
            <v>Critical</v>
          </cell>
          <cell r="K92" t="str">
            <v>Smiths Metal Binder Clips</v>
          </cell>
          <cell r="L92" t="str">
            <v>Office Supplies</v>
          </cell>
          <cell r="M92" t="str">
            <v>Wrap Bag</v>
          </cell>
          <cell r="N92" t="str">
            <v>Regular Air</v>
          </cell>
          <cell r="O92">
            <v>41460</v>
          </cell>
          <cell r="P92">
            <v>1.6</v>
          </cell>
          <cell r="Q92">
            <v>2.62</v>
          </cell>
          <cell r="R92">
            <v>1.02</v>
          </cell>
          <cell r="S92">
            <v>21</v>
          </cell>
          <cell r="T92">
            <v>55.02</v>
          </cell>
          <cell r="V92">
            <v>2.7510000000000003</v>
          </cell>
          <cell r="W92">
            <v>52.269000000000005</v>
          </cell>
          <cell r="X92">
            <v>0.8</v>
          </cell>
          <cell r="Y92">
            <v>53.069000000000003</v>
          </cell>
        </row>
        <row r="93">
          <cell r="A93" t="str">
            <v>5160-1</v>
          </cell>
          <cell r="B93">
            <v>41460</v>
          </cell>
          <cell r="C93" t="str">
            <v>2013</v>
          </cell>
          <cell r="D93" t="str">
            <v>Berenike Kampe</v>
          </cell>
          <cell r="E93" t="str">
            <v>32/82 King Street, Perth</v>
          </cell>
          <cell r="F93" t="str">
            <v>Melbourne</v>
          </cell>
          <cell r="G93" t="str">
            <v>VIC</v>
          </cell>
          <cell r="H93" t="str">
            <v>Corporate</v>
          </cell>
          <cell r="I93" t="str">
            <v>Connor Betts</v>
          </cell>
          <cell r="J93" t="str">
            <v>Not Specified</v>
          </cell>
          <cell r="K93" t="str">
            <v>1726 Digital Answering Machine</v>
          </cell>
          <cell r="L93" t="str">
            <v>Technology</v>
          </cell>
          <cell r="M93" t="str">
            <v>Medium Box</v>
          </cell>
          <cell r="N93" t="str">
            <v>Regular Air</v>
          </cell>
          <cell r="O93">
            <v>41462</v>
          </cell>
          <cell r="P93">
            <v>8.82</v>
          </cell>
          <cell r="Q93">
            <v>20.99</v>
          </cell>
          <cell r="R93">
            <v>12.169999999999998</v>
          </cell>
          <cell r="S93">
            <v>41</v>
          </cell>
          <cell r="T93">
            <v>860.58999999999992</v>
          </cell>
          <cell r="V93">
            <v>17.2118</v>
          </cell>
          <cell r="W93">
            <v>843.37819999999988</v>
          </cell>
          <cell r="X93">
            <v>4.8099999999999996</v>
          </cell>
          <cell r="Y93">
            <v>848.18819999999982</v>
          </cell>
        </row>
        <row r="94">
          <cell r="A94" t="str">
            <v>5160-2</v>
          </cell>
          <cell r="B94">
            <v>41460</v>
          </cell>
          <cell r="C94" t="str">
            <v>2013</v>
          </cell>
          <cell r="D94" t="str">
            <v>Berenike Kampe</v>
          </cell>
          <cell r="E94" t="str">
            <v>32/82 King Street, Perth</v>
          </cell>
          <cell r="F94" t="str">
            <v>Melbourne</v>
          </cell>
          <cell r="G94" t="str">
            <v>VIC</v>
          </cell>
          <cell r="H94" t="str">
            <v>Corporate</v>
          </cell>
          <cell r="I94" t="str">
            <v>Connor Betts</v>
          </cell>
          <cell r="J94" t="str">
            <v>Not Specified</v>
          </cell>
          <cell r="K94" t="str">
            <v>3Max Organizer Strips</v>
          </cell>
          <cell r="L94" t="str">
            <v>Office Supplies</v>
          </cell>
          <cell r="M94" t="str">
            <v>Small Box</v>
          </cell>
          <cell r="N94" t="str">
            <v>Express Air</v>
          </cell>
          <cell r="O94">
            <v>41462</v>
          </cell>
          <cell r="P94">
            <v>3.4</v>
          </cell>
          <cell r="Q94">
            <v>5.4</v>
          </cell>
          <cell r="R94">
            <v>2.0000000000000004</v>
          </cell>
          <cell r="S94">
            <v>26</v>
          </cell>
          <cell r="T94">
            <v>140.4</v>
          </cell>
          <cell r="V94">
            <v>7.0200000000000005</v>
          </cell>
          <cell r="W94">
            <v>133.38</v>
          </cell>
          <cell r="X94">
            <v>7.78</v>
          </cell>
          <cell r="Y94">
            <v>141.16</v>
          </cell>
        </row>
        <row r="95">
          <cell r="A95" t="str">
            <v>5163-1</v>
          </cell>
          <cell r="B95">
            <v>41461</v>
          </cell>
          <cell r="C95" t="str">
            <v>2013</v>
          </cell>
          <cell r="D95" t="str">
            <v>Aaron Smayling</v>
          </cell>
          <cell r="E95" t="str">
            <v>1737 Botany Rd,Banksmeadow</v>
          </cell>
          <cell r="F95" t="str">
            <v>Sydney</v>
          </cell>
          <cell r="G95" t="str">
            <v>NSW</v>
          </cell>
          <cell r="H95" t="str">
            <v>Small Business</v>
          </cell>
          <cell r="I95" t="str">
            <v>Nicholas Fernandes</v>
          </cell>
          <cell r="J95" t="str">
            <v>Medium</v>
          </cell>
          <cell r="K95" t="str">
            <v>TypeRight  Top-Opening Peel &amp; Seel  Envelopes, Gray</v>
          </cell>
          <cell r="L95" t="str">
            <v>Office Supplies</v>
          </cell>
          <cell r="M95" t="str">
            <v>Small Box</v>
          </cell>
          <cell r="N95" t="str">
            <v>Regular Air</v>
          </cell>
          <cell r="O95">
            <v>41461</v>
          </cell>
          <cell r="P95">
            <v>21.56</v>
          </cell>
          <cell r="Q95">
            <v>35.94</v>
          </cell>
          <cell r="R95">
            <v>14.379999999999999</v>
          </cell>
          <cell r="S95">
            <v>28</v>
          </cell>
          <cell r="T95">
            <v>1006.3199999999999</v>
          </cell>
          <cell r="V95">
            <v>10.0632</v>
          </cell>
          <cell r="W95">
            <v>996.25679999999988</v>
          </cell>
          <cell r="X95">
            <v>6.66</v>
          </cell>
          <cell r="Y95">
            <v>1002.9167999999999</v>
          </cell>
        </row>
        <row r="96">
          <cell r="A96" t="str">
            <v>5165-1</v>
          </cell>
          <cell r="B96">
            <v>41465</v>
          </cell>
          <cell r="C96" t="str">
            <v>2013</v>
          </cell>
          <cell r="D96" t="str">
            <v>Julie Kriz</v>
          </cell>
          <cell r="E96" t="str">
            <v>Macquarie Centre Cnr Herring Road &amp; Waterloo Road,Macquarie Park</v>
          </cell>
          <cell r="F96" t="str">
            <v>Sydney</v>
          </cell>
          <cell r="G96" t="str">
            <v>NSW</v>
          </cell>
          <cell r="H96" t="str">
            <v>Corporate</v>
          </cell>
          <cell r="I96" t="str">
            <v>Nicholas Fernandes</v>
          </cell>
          <cell r="J96" t="str">
            <v>Critical</v>
          </cell>
          <cell r="K96" t="str">
            <v>Artisan Non-Stick Binders</v>
          </cell>
          <cell r="L96" t="str">
            <v>Office Supplies</v>
          </cell>
          <cell r="M96" t="str">
            <v>Small Box</v>
          </cell>
          <cell r="N96" t="str">
            <v>Regular Air</v>
          </cell>
          <cell r="O96">
            <v>41465</v>
          </cell>
          <cell r="P96">
            <v>2.74</v>
          </cell>
          <cell r="Q96">
            <v>4.49</v>
          </cell>
          <cell r="R96">
            <v>1.75</v>
          </cell>
          <cell r="S96">
            <v>11</v>
          </cell>
          <cell r="T96">
            <v>49.39</v>
          </cell>
          <cell r="V96">
            <v>3.9512</v>
          </cell>
          <cell r="W96">
            <v>45.438800000000001</v>
          </cell>
          <cell r="X96">
            <v>1.49</v>
          </cell>
          <cell r="Y96">
            <v>46.928800000000003</v>
          </cell>
        </row>
        <row r="97">
          <cell r="A97" t="str">
            <v>5166-1</v>
          </cell>
          <cell r="B97">
            <v>41465</v>
          </cell>
          <cell r="C97" t="str">
            <v>2013</v>
          </cell>
          <cell r="D97" t="str">
            <v>Craig Carroll</v>
          </cell>
          <cell r="E97" t="str">
            <v>99 Lygon Street,East Brunswick</v>
          </cell>
          <cell r="F97" t="str">
            <v>Melbourne</v>
          </cell>
          <cell r="G97" t="str">
            <v>VIC</v>
          </cell>
          <cell r="H97" t="str">
            <v>Corporate</v>
          </cell>
          <cell r="I97" t="str">
            <v>Connor Betts</v>
          </cell>
          <cell r="J97" t="str">
            <v>Not Specified</v>
          </cell>
          <cell r="K97" t="str">
            <v>DrawIt Colored Pencils</v>
          </cell>
          <cell r="L97" t="str">
            <v>Office Supplies</v>
          </cell>
          <cell r="M97" t="str">
            <v>Wrap Bag</v>
          </cell>
          <cell r="N97" t="str">
            <v>Regular Air</v>
          </cell>
          <cell r="O97">
            <v>41468</v>
          </cell>
          <cell r="P97">
            <v>4.37</v>
          </cell>
          <cell r="Q97">
            <v>9.11</v>
          </cell>
          <cell r="R97">
            <v>4.7399999999999993</v>
          </cell>
          <cell r="S97">
            <v>6</v>
          </cell>
          <cell r="T97">
            <v>54.66</v>
          </cell>
          <cell r="V97">
            <v>2.1863999999999999</v>
          </cell>
          <cell r="W97">
            <v>52.473599999999998</v>
          </cell>
          <cell r="X97">
            <v>2.25</v>
          </cell>
          <cell r="Y97">
            <v>54.723599999999998</v>
          </cell>
        </row>
        <row r="98">
          <cell r="A98" t="str">
            <v>5168-1</v>
          </cell>
          <cell r="B98">
            <v>41470</v>
          </cell>
          <cell r="C98" t="str">
            <v>2013</v>
          </cell>
          <cell r="D98" t="str">
            <v>Christy Brittain</v>
          </cell>
          <cell r="E98" t="str">
            <v>Shop 1, 186-190 Church Street,Parramatta;46a Macleay Street,Potts Point</v>
          </cell>
          <cell r="F98" t="str">
            <v>Sydney</v>
          </cell>
          <cell r="G98" t="str">
            <v>NSW</v>
          </cell>
          <cell r="H98" t="str">
            <v>Consumer</v>
          </cell>
          <cell r="I98" t="str">
            <v>Mihael Khan</v>
          </cell>
          <cell r="J98" t="str">
            <v>Critical</v>
          </cell>
          <cell r="K98" t="str">
            <v>Smiths Pen Style Liquid Stix; Assorted (yellow, pink, green, blue, orange), 5/Pack</v>
          </cell>
          <cell r="L98" t="str">
            <v>Office Supplies</v>
          </cell>
          <cell r="M98" t="str">
            <v>Wrap Bag</v>
          </cell>
          <cell r="N98" t="str">
            <v>Regular Air</v>
          </cell>
          <cell r="O98">
            <v>41471</v>
          </cell>
          <cell r="P98">
            <v>3.88</v>
          </cell>
          <cell r="Q98">
            <v>6.47</v>
          </cell>
          <cell r="R98">
            <v>2.59</v>
          </cell>
          <cell r="S98">
            <v>20</v>
          </cell>
          <cell r="T98">
            <v>129.4</v>
          </cell>
          <cell r="V98">
            <v>2.5880000000000001</v>
          </cell>
          <cell r="W98">
            <v>126.81200000000001</v>
          </cell>
          <cell r="X98">
            <v>1.22</v>
          </cell>
          <cell r="Y98">
            <v>128.03200000000001</v>
          </cell>
        </row>
        <row r="99">
          <cell r="A99" t="str">
            <v>5168-2</v>
          </cell>
          <cell r="B99">
            <v>41470</v>
          </cell>
          <cell r="C99" t="str">
            <v>2013</v>
          </cell>
          <cell r="D99" t="str">
            <v>Christy Brittain</v>
          </cell>
          <cell r="E99" t="str">
            <v>Shop 1, 186-190 Church Street,Parramatta;46a Macleay Street,Potts Point</v>
          </cell>
          <cell r="F99" t="str">
            <v>Sydney</v>
          </cell>
          <cell r="G99" t="str">
            <v>NSW</v>
          </cell>
          <cell r="H99" t="str">
            <v>Consumer</v>
          </cell>
          <cell r="I99" t="str">
            <v>Mihael Khan</v>
          </cell>
          <cell r="J99" t="str">
            <v>Critical</v>
          </cell>
          <cell r="K99" t="str">
            <v>Steady Liquid Accent Tank-Style Highlighters</v>
          </cell>
          <cell r="L99" t="str">
            <v>Office Supplies</v>
          </cell>
          <cell r="M99" t="str">
            <v>Wrap Bag</v>
          </cell>
          <cell r="N99" t="str">
            <v>Regular Air</v>
          </cell>
          <cell r="O99">
            <v>41472</v>
          </cell>
          <cell r="P99">
            <v>1.31</v>
          </cell>
          <cell r="Q99">
            <v>2.84</v>
          </cell>
          <cell r="R99">
            <v>1.5299999999999998</v>
          </cell>
          <cell r="S99">
            <v>39</v>
          </cell>
          <cell r="T99">
            <v>110.75999999999999</v>
          </cell>
          <cell r="V99">
            <v>7.7532000000000005</v>
          </cell>
          <cell r="W99">
            <v>103.00679999999998</v>
          </cell>
          <cell r="X99">
            <v>0.93</v>
          </cell>
          <cell r="Y99">
            <v>103.93679999999999</v>
          </cell>
        </row>
        <row r="100">
          <cell r="A100" t="str">
            <v>5171-1</v>
          </cell>
          <cell r="B100">
            <v>41471</v>
          </cell>
          <cell r="C100" t="str">
            <v>2013</v>
          </cell>
          <cell r="D100" t="str">
            <v>George Zrebassa</v>
          </cell>
          <cell r="E100" t="str">
            <v>81 MacLeay St,Potts Point</v>
          </cell>
          <cell r="F100" t="str">
            <v>Sydney</v>
          </cell>
          <cell r="G100" t="str">
            <v>NSW</v>
          </cell>
          <cell r="H100" t="str">
            <v>Home Office</v>
          </cell>
          <cell r="I100" t="str">
            <v>Samantha Chairs</v>
          </cell>
          <cell r="J100" t="str">
            <v>Critical</v>
          </cell>
          <cell r="K100" t="str">
            <v>Bagged Rubber Bands</v>
          </cell>
          <cell r="L100" t="str">
            <v>Office Supplies</v>
          </cell>
          <cell r="M100" t="str">
            <v>Wrap Bag</v>
          </cell>
          <cell r="N100" t="str">
            <v>Regular Air</v>
          </cell>
          <cell r="O100">
            <v>41472</v>
          </cell>
          <cell r="P100">
            <v>0.24</v>
          </cell>
          <cell r="Q100">
            <v>1.26</v>
          </cell>
          <cell r="R100">
            <v>1.02</v>
          </cell>
          <cell r="S100">
            <v>10</v>
          </cell>
          <cell r="T100">
            <v>12.6</v>
          </cell>
          <cell r="V100">
            <v>1.26</v>
          </cell>
          <cell r="W100">
            <v>11.34</v>
          </cell>
          <cell r="X100">
            <v>0.7</v>
          </cell>
          <cell r="Y100">
            <v>12.04</v>
          </cell>
        </row>
        <row r="101">
          <cell r="A101" t="str">
            <v>5173-1</v>
          </cell>
          <cell r="B101">
            <v>41471</v>
          </cell>
          <cell r="C101" t="str">
            <v>2013</v>
          </cell>
          <cell r="D101" t="str">
            <v>Rob Haberlin</v>
          </cell>
          <cell r="E101" t="str">
            <v>8 Rankins Lane ,Melbourne</v>
          </cell>
          <cell r="F101" t="str">
            <v>Melbourne</v>
          </cell>
          <cell r="G101" t="str">
            <v>VIC</v>
          </cell>
          <cell r="H101" t="str">
            <v>Corporate</v>
          </cell>
          <cell r="I101" t="str">
            <v>Connor Betts</v>
          </cell>
          <cell r="J101" t="str">
            <v>High</v>
          </cell>
          <cell r="K101" t="str">
            <v>Wirebound Voice Message Log Book</v>
          </cell>
          <cell r="L101" t="str">
            <v>Office Supplies</v>
          </cell>
          <cell r="M101" t="str">
            <v>Wrap Bag</v>
          </cell>
          <cell r="N101" t="str">
            <v>Regular Air</v>
          </cell>
          <cell r="O101">
            <v>41471</v>
          </cell>
          <cell r="P101">
            <v>2.9</v>
          </cell>
          <cell r="Q101">
            <v>4.76</v>
          </cell>
          <cell r="R101">
            <v>1.8599999999999999</v>
          </cell>
          <cell r="S101">
            <v>13</v>
          </cell>
          <cell r="T101">
            <v>61.879999999999995</v>
          </cell>
          <cell r="V101">
            <v>4.3315999999999999</v>
          </cell>
          <cell r="W101">
            <v>57.548399999999994</v>
          </cell>
          <cell r="X101">
            <v>0.88</v>
          </cell>
          <cell r="Y101">
            <v>58.428399999999996</v>
          </cell>
        </row>
        <row r="102">
          <cell r="A102" t="str">
            <v>5174-1</v>
          </cell>
          <cell r="B102">
            <v>41472</v>
          </cell>
          <cell r="C102" t="str">
            <v>2013</v>
          </cell>
          <cell r="D102" t="str">
            <v>Pauline Webber</v>
          </cell>
          <cell r="E102" t="str">
            <v>499-501 Lygon Street,Carlton North</v>
          </cell>
          <cell r="F102" t="str">
            <v>Melbourne</v>
          </cell>
          <cell r="G102" t="str">
            <v>VIC</v>
          </cell>
          <cell r="H102" t="str">
            <v>Consumer</v>
          </cell>
          <cell r="I102" t="str">
            <v>Yvette Biti</v>
          </cell>
          <cell r="J102" t="str">
            <v>Low</v>
          </cell>
          <cell r="K102" t="str">
            <v>UGen Ultra Cordless Optical Suite</v>
          </cell>
          <cell r="L102" t="str">
            <v>Technology</v>
          </cell>
          <cell r="M102" t="str">
            <v>Small Box</v>
          </cell>
          <cell r="N102" t="str">
            <v>Express Air</v>
          </cell>
          <cell r="O102">
            <v>41472</v>
          </cell>
          <cell r="P102">
            <v>54.52</v>
          </cell>
          <cell r="Q102">
            <v>100.97</v>
          </cell>
          <cell r="R102">
            <v>46.449999999999996</v>
          </cell>
          <cell r="S102">
            <v>35</v>
          </cell>
          <cell r="T102">
            <v>3533.95</v>
          </cell>
          <cell r="V102">
            <v>176.69749999999999</v>
          </cell>
          <cell r="W102">
            <v>3357.2524999999996</v>
          </cell>
          <cell r="X102">
            <v>7.18</v>
          </cell>
          <cell r="Y102">
            <v>3364.4324999999994</v>
          </cell>
        </row>
        <row r="103">
          <cell r="A103" t="str">
            <v>5175-1</v>
          </cell>
          <cell r="B103">
            <v>41473</v>
          </cell>
          <cell r="C103" t="str">
            <v>2013</v>
          </cell>
          <cell r="D103" t="str">
            <v>Ben Wallace</v>
          </cell>
          <cell r="E103" t="str">
            <v>6 Brookman Street, Perth</v>
          </cell>
          <cell r="F103" t="str">
            <v>Melbourne</v>
          </cell>
          <cell r="G103" t="str">
            <v>VIC</v>
          </cell>
          <cell r="H103" t="str">
            <v>Home Office</v>
          </cell>
          <cell r="I103" t="str">
            <v>Yvette Biti</v>
          </cell>
          <cell r="J103" t="str">
            <v>Critical</v>
          </cell>
          <cell r="K103" t="str">
            <v>Apex Elite Stainless Steel Scissors</v>
          </cell>
          <cell r="L103" t="str">
            <v>Office Supplies</v>
          </cell>
          <cell r="M103" t="str">
            <v>Small Pack</v>
          </cell>
          <cell r="N103" t="str">
            <v>Express Air</v>
          </cell>
          <cell r="O103">
            <v>41475</v>
          </cell>
          <cell r="P103">
            <v>3.42</v>
          </cell>
          <cell r="Q103">
            <v>8.34</v>
          </cell>
          <cell r="R103">
            <v>4.92</v>
          </cell>
          <cell r="S103">
            <v>15</v>
          </cell>
          <cell r="T103">
            <v>125.1</v>
          </cell>
          <cell r="V103">
            <v>0</v>
          </cell>
          <cell r="W103">
            <v>125.1</v>
          </cell>
          <cell r="X103">
            <v>2.64</v>
          </cell>
          <cell r="Y103">
            <v>127.74</v>
          </cell>
        </row>
        <row r="104">
          <cell r="A104" t="str">
            <v>5177-1</v>
          </cell>
          <cell r="B104">
            <v>41475</v>
          </cell>
          <cell r="C104" t="str">
            <v>2013</v>
          </cell>
          <cell r="D104" t="str">
            <v>Giulietta Dortch</v>
          </cell>
          <cell r="E104" t="str">
            <v>180 High Street,Windsor</v>
          </cell>
          <cell r="F104" t="str">
            <v>Melbourne</v>
          </cell>
          <cell r="G104" t="str">
            <v>VIC</v>
          </cell>
          <cell r="H104" t="str">
            <v>Small Business</v>
          </cell>
          <cell r="I104" t="str">
            <v>Connor Betts</v>
          </cell>
          <cell r="J104" t="str">
            <v>Critical</v>
          </cell>
          <cell r="K104" t="str">
            <v>Artisan Printable Repositionable Plastic Tabs</v>
          </cell>
          <cell r="L104" t="str">
            <v>Office Supplies</v>
          </cell>
          <cell r="M104" t="str">
            <v>Small Box</v>
          </cell>
          <cell r="N104" t="str">
            <v>Express Air</v>
          </cell>
          <cell r="O104">
            <v>41477</v>
          </cell>
          <cell r="P104">
            <v>5.33</v>
          </cell>
          <cell r="Q104">
            <v>8.6</v>
          </cell>
          <cell r="R104">
            <v>3.2699999999999996</v>
          </cell>
          <cell r="S104">
            <v>23</v>
          </cell>
          <cell r="T104">
            <v>197.79999999999998</v>
          </cell>
          <cell r="V104">
            <v>3.956</v>
          </cell>
          <cell r="W104">
            <v>193.84399999999999</v>
          </cell>
          <cell r="X104">
            <v>6.19</v>
          </cell>
          <cell r="Y104">
            <v>200.03399999999999</v>
          </cell>
        </row>
        <row r="105">
          <cell r="A105" t="str">
            <v>5178-1</v>
          </cell>
          <cell r="B105">
            <v>41476</v>
          </cell>
          <cell r="C105" t="str">
            <v>2013</v>
          </cell>
          <cell r="D105" t="str">
            <v>Adam Shillingsburg</v>
          </cell>
          <cell r="E105" t="str">
            <v>Westfield Parramatta,Parramatta</v>
          </cell>
          <cell r="F105" t="str">
            <v>Sydney</v>
          </cell>
          <cell r="G105" t="str">
            <v>NSW</v>
          </cell>
          <cell r="H105" t="str">
            <v>Corporate</v>
          </cell>
          <cell r="I105" t="str">
            <v>Stevie Bacata</v>
          </cell>
          <cell r="J105" t="str">
            <v>High</v>
          </cell>
          <cell r="K105" t="str">
            <v>Cando PC940 Copier</v>
          </cell>
          <cell r="L105" t="str">
            <v>Technology</v>
          </cell>
          <cell r="M105" t="str">
            <v>Jumbo Drum</v>
          </cell>
          <cell r="N105" t="str">
            <v>Delivery Truck</v>
          </cell>
          <cell r="O105">
            <v>41478</v>
          </cell>
          <cell r="P105">
            <v>278.99</v>
          </cell>
          <cell r="Q105">
            <v>449.99</v>
          </cell>
          <cell r="R105">
            <v>171</v>
          </cell>
          <cell r="S105">
            <v>12</v>
          </cell>
          <cell r="T105">
            <v>5399.88</v>
          </cell>
          <cell r="V105">
            <v>323.99279999999999</v>
          </cell>
          <cell r="W105">
            <v>5075.8872000000001</v>
          </cell>
          <cell r="X105">
            <v>49</v>
          </cell>
          <cell r="Y105">
            <v>5124.8872000000001</v>
          </cell>
        </row>
        <row r="106">
          <cell r="A106" t="str">
            <v>5180-1</v>
          </cell>
          <cell r="B106">
            <v>41477</v>
          </cell>
          <cell r="C106" t="str">
            <v>2013</v>
          </cell>
          <cell r="D106" t="str">
            <v>Rick Hansen</v>
          </cell>
          <cell r="E106" t="str">
            <v>Macquarie Centre Cnr Herring Road &amp; Waterloo Road,Macquarie Park</v>
          </cell>
          <cell r="F106" t="str">
            <v>Sydney</v>
          </cell>
          <cell r="G106" t="str">
            <v>NSW</v>
          </cell>
          <cell r="H106" t="str">
            <v>Corporate</v>
          </cell>
          <cell r="I106" t="str">
            <v>Nicholas Fernandes</v>
          </cell>
          <cell r="J106" t="str">
            <v>High</v>
          </cell>
          <cell r="K106" t="str">
            <v>Economy Binders</v>
          </cell>
          <cell r="L106" t="str">
            <v>Office Supplies</v>
          </cell>
          <cell r="M106" t="str">
            <v>Small Box</v>
          </cell>
          <cell r="N106" t="str">
            <v>Express Air</v>
          </cell>
          <cell r="O106">
            <v>41478</v>
          </cell>
          <cell r="P106">
            <v>1.33</v>
          </cell>
          <cell r="Q106">
            <v>2.08</v>
          </cell>
          <cell r="R106">
            <v>0.75</v>
          </cell>
          <cell r="S106">
            <v>11</v>
          </cell>
          <cell r="T106">
            <v>22.880000000000003</v>
          </cell>
          <cell r="V106">
            <v>0.22880000000000003</v>
          </cell>
          <cell r="W106">
            <v>22.651200000000003</v>
          </cell>
          <cell r="X106">
            <v>1.49</v>
          </cell>
          <cell r="Y106">
            <v>24.141200000000001</v>
          </cell>
        </row>
        <row r="107">
          <cell r="A107" t="str">
            <v>5181-1</v>
          </cell>
          <cell r="B107">
            <v>41477</v>
          </cell>
          <cell r="C107" t="str">
            <v>2013</v>
          </cell>
          <cell r="D107" t="str">
            <v>Edward Becker</v>
          </cell>
          <cell r="E107" t="str">
            <v>501 George St,Sydney</v>
          </cell>
          <cell r="F107" t="str">
            <v>Sydney</v>
          </cell>
          <cell r="G107" t="str">
            <v>NSW</v>
          </cell>
          <cell r="H107" t="str">
            <v>Corporate</v>
          </cell>
          <cell r="I107" t="str">
            <v>Samantha Chairs</v>
          </cell>
          <cell r="J107" t="str">
            <v>Low</v>
          </cell>
          <cell r="K107" t="str">
            <v>TechSavi Internet Navigator Keyboard</v>
          </cell>
          <cell r="L107" t="str">
            <v>Technology</v>
          </cell>
          <cell r="M107" t="str">
            <v>Small Box</v>
          </cell>
          <cell r="N107" t="str">
            <v>Regular Air</v>
          </cell>
          <cell r="O107">
            <v>41481</v>
          </cell>
          <cell r="P107">
            <v>6.51</v>
          </cell>
          <cell r="Q107">
            <v>30.98</v>
          </cell>
          <cell r="R107">
            <v>24.47</v>
          </cell>
          <cell r="S107">
            <v>29</v>
          </cell>
          <cell r="T107">
            <v>898.42</v>
          </cell>
          <cell r="V107">
            <v>26.952599999999997</v>
          </cell>
          <cell r="W107">
            <v>871.4674</v>
          </cell>
          <cell r="X107">
            <v>6.5</v>
          </cell>
          <cell r="Y107">
            <v>877.9674</v>
          </cell>
        </row>
        <row r="108">
          <cell r="A108" t="str">
            <v>5183-1</v>
          </cell>
          <cell r="B108">
            <v>41478</v>
          </cell>
          <cell r="C108" t="str">
            <v>2013</v>
          </cell>
          <cell r="D108" t="str">
            <v>Sean ODonnell</v>
          </cell>
          <cell r="E108" t="str">
            <v>541 Church St ,Richmond</v>
          </cell>
          <cell r="F108" t="str">
            <v>Melbourne</v>
          </cell>
          <cell r="G108" t="str">
            <v>VIC</v>
          </cell>
          <cell r="H108" t="str">
            <v>Corporate</v>
          </cell>
          <cell r="I108" t="str">
            <v>Yvette Biti</v>
          </cell>
          <cell r="J108" t="str">
            <v>Not Specified</v>
          </cell>
          <cell r="K108" t="str">
            <v>Artisan Hi-Liter Smear-Safe Highlighters</v>
          </cell>
          <cell r="L108" t="str">
            <v>Office Supplies</v>
          </cell>
          <cell r="M108" t="str">
            <v>Wrap Bag</v>
          </cell>
          <cell r="N108" t="str">
            <v>Regular Air</v>
          </cell>
          <cell r="O108">
            <v>41480</v>
          </cell>
          <cell r="P108">
            <v>2.98</v>
          </cell>
          <cell r="Q108">
            <v>5.84</v>
          </cell>
          <cell r="R108">
            <v>2.86</v>
          </cell>
          <cell r="S108">
            <v>11</v>
          </cell>
          <cell r="T108">
            <v>64.239999999999995</v>
          </cell>
          <cell r="V108">
            <v>0.64239999999999997</v>
          </cell>
          <cell r="W108">
            <v>63.597599999999993</v>
          </cell>
          <cell r="X108">
            <v>0.83</v>
          </cell>
          <cell r="Y108">
            <v>64.427599999999998</v>
          </cell>
        </row>
        <row r="109">
          <cell r="A109" t="str">
            <v>5185-1</v>
          </cell>
          <cell r="B109">
            <v>41479</v>
          </cell>
          <cell r="C109" t="str">
            <v>2013</v>
          </cell>
          <cell r="D109" t="str">
            <v>Karl Brown</v>
          </cell>
          <cell r="E109" t="str">
            <v>470 Anzac Parade,Kingsford</v>
          </cell>
          <cell r="F109" t="str">
            <v>Sydney</v>
          </cell>
          <cell r="G109" t="str">
            <v>NSW</v>
          </cell>
          <cell r="H109" t="str">
            <v>Home Office</v>
          </cell>
          <cell r="I109" t="str">
            <v>Tina Carlton</v>
          </cell>
          <cell r="J109" t="str">
            <v>Critical</v>
          </cell>
          <cell r="K109" t="str">
            <v>Artisan Hanging File Binders</v>
          </cell>
          <cell r="L109" t="str">
            <v>Office Supplies</v>
          </cell>
          <cell r="M109" t="str">
            <v>Small Box</v>
          </cell>
          <cell r="N109" t="str">
            <v>Regular Air</v>
          </cell>
          <cell r="O109">
            <v>41481</v>
          </cell>
          <cell r="P109">
            <v>3.65</v>
          </cell>
          <cell r="Q109">
            <v>5.98</v>
          </cell>
          <cell r="R109">
            <v>2.3300000000000005</v>
          </cell>
          <cell r="S109">
            <v>14</v>
          </cell>
          <cell r="T109">
            <v>83.72</v>
          </cell>
          <cell r="V109">
            <v>7.5347999999999997</v>
          </cell>
          <cell r="W109">
            <v>76.185199999999995</v>
          </cell>
          <cell r="X109">
            <v>1.49</v>
          </cell>
          <cell r="Y109">
            <v>77.67519999999999</v>
          </cell>
        </row>
        <row r="110">
          <cell r="A110" t="str">
            <v>5186-1</v>
          </cell>
          <cell r="B110">
            <v>41481</v>
          </cell>
          <cell r="C110" t="str">
            <v>2013</v>
          </cell>
          <cell r="D110" t="str">
            <v>Eric Barreto</v>
          </cell>
          <cell r="E110" t="str">
            <v>14 Money Street</v>
          </cell>
          <cell r="F110" t="str">
            <v>Perth</v>
          </cell>
          <cell r="G110" t="str">
            <v>WA</v>
          </cell>
          <cell r="H110" t="str">
            <v>Consumer</v>
          </cell>
          <cell r="I110" t="str">
            <v>Phoebe Gour</v>
          </cell>
          <cell r="J110" t="str">
            <v>Low</v>
          </cell>
          <cell r="K110" t="str">
            <v>Beekin 6 Outlet Metallic Surge Strip</v>
          </cell>
          <cell r="L110" t="str">
            <v>Office Supplies</v>
          </cell>
          <cell r="M110" t="str">
            <v>Small Box</v>
          </cell>
          <cell r="N110" t="str">
            <v>Regular Air</v>
          </cell>
          <cell r="O110">
            <v>41486</v>
          </cell>
          <cell r="P110">
            <v>4.46</v>
          </cell>
          <cell r="Q110">
            <v>10.89</v>
          </cell>
          <cell r="R110">
            <v>6.4300000000000006</v>
          </cell>
          <cell r="S110">
            <v>37</v>
          </cell>
          <cell r="T110">
            <v>402.93</v>
          </cell>
          <cell r="V110">
            <v>24.175799999999999</v>
          </cell>
          <cell r="W110">
            <v>378.75420000000003</v>
          </cell>
          <cell r="X110">
            <v>4.5</v>
          </cell>
          <cell r="Y110">
            <v>383.25420000000003</v>
          </cell>
        </row>
        <row r="111">
          <cell r="A111" t="str">
            <v>5188-1</v>
          </cell>
          <cell r="B111">
            <v>41481</v>
          </cell>
          <cell r="C111" t="str">
            <v>2013</v>
          </cell>
          <cell r="D111" t="str">
            <v>Charles Sheldon</v>
          </cell>
          <cell r="E111" t="str">
            <v>180 High Street,Windsor</v>
          </cell>
          <cell r="F111" t="str">
            <v>Melbourne</v>
          </cell>
          <cell r="G111" t="str">
            <v>VIC</v>
          </cell>
          <cell r="H111" t="str">
            <v>Corporate</v>
          </cell>
          <cell r="I111" t="str">
            <v>Connor Betts</v>
          </cell>
          <cell r="J111" t="str">
            <v>Low</v>
          </cell>
          <cell r="K111" t="str">
            <v>TechSavi Internet Navigator Keyboard</v>
          </cell>
          <cell r="L111" t="str">
            <v>Technology</v>
          </cell>
          <cell r="M111" t="str">
            <v>Small Box</v>
          </cell>
          <cell r="N111" t="str">
            <v>Regular Air</v>
          </cell>
          <cell r="O111">
            <v>41483</v>
          </cell>
          <cell r="P111">
            <v>6.51</v>
          </cell>
          <cell r="Q111">
            <v>30.98</v>
          </cell>
          <cell r="R111">
            <v>24.47</v>
          </cell>
          <cell r="S111">
            <v>8</v>
          </cell>
          <cell r="T111">
            <v>247.84</v>
          </cell>
          <cell r="V111">
            <v>2.4784000000000002</v>
          </cell>
          <cell r="W111">
            <v>245.36160000000001</v>
          </cell>
          <cell r="X111">
            <v>6.5</v>
          </cell>
          <cell r="Y111">
            <v>251.86160000000001</v>
          </cell>
        </row>
        <row r="112">
          <cell r="A112" t="str">
            <v>5189-1</v>
          </cell>
          <cell r="B112">
            <v>41482</v>
          </cell>
          <cell r="C112" t="str">
            <v>2013</v>
          </cell>
          <cell r="D112" t="str">
            <v>Jesus Ocampo</v>
          </cell>
          <cell r="E112" t="str">
            <v>60 Commercial Rd,Prahran</v>
          </cell>
          <cell r="F112" t="str">
            <v>Melbourne</v>
          </cell>
          <cell r="G112" t="str">
            <v>VIC</v>
          </cell>
          <cell r="H112" t="str">
            <v>Small Business</v>
          </cell>
          <cell r="I112" t="str">
            <v>Yvette Biti</v>
          </cell>
          <cell r="J112" t="str">
            <v>Low</v>
          </cell>
          <cell r="K112" t="str">
            <v>Adesso Programmable 142-Key Keyboard</v>
          </cell>
          <cell r="L112" t="str">
            <v>Technology</v>
          </cell>
          <cell r="M112" t="str">
            <v>Small Box</v>
          </cell>
          <cell r="N112" t="str">
            <v>Regular Air</v>
          </cell>
          <cell r="O112">
            <v>41484</v>
          </cell>
          <cell r="P112">
            <v>39.64</v>
          </cell>
          <cell r="Q112">
            <v>152.47999999999999</v>
          </cell>
          <cell r="R112">
            <v>112.83999999999999</v>
          </cell>
          <cell r="S112">
            <v>31</v>
          </cell>
          <cell r="T112">
            <v>4726.88</v>
          </cell>
          <cell r="V112">
            <v>330.88160000000005</v>
          </cell>
          <cell r="W112">
            <v>4395.9984000000004</v>
          </cell>
          <cell r="X112">
            <v>6.5</v>
          </cell>
          <cell r="Y112">
            <v>4402.4984000000004</v>
          </cell>
        </row>
        <row r="113">
          <cell r="A113" t="str">
            <v>5191-1</v>
          </cell>
          <cell r="B113">
            <v>41483</v>
          </cell>
          <cell r="C113" t="str">
            <v>2013</v>
          </cell>
          <cell r="D113" t="str">
            <v>Thais Sissman</v>
          </cell>
          <cell r="E113" t="str">
            <v>8 Orange Street</v>
          </cell>
          <cell r="F113" t="str">
            <v>Perth</v>
          </cell>
          <cell r="G113" t="str">
            <v>WA</v>
          </cell>
          <cell r="H113" t="str">
            <v>Corporate</v>
          </cell>
          <cell r="I113" t="str">
            <v>Tina Carlton</v>
          </cell>
          <cell r="J113" t="str">
            <v>Not Specified</v>
          </cell>
          <cell r="K113" t="str">
            <v>Fluorescent Highlighters by DrawIt</v>
          </cell>
          <cell r="L113" t="str">
            <v>Office Supplies</v>
          </cell>
          <cell r="M113" t="str">
            <v>Wrap Bag</v>
          </cell>
          <cell r="N113" t="str">
            <v>Regular Air</v>
          </cell>
          <cell r="O113">
            <v>41485</v>
          </cell>
          <cell r="P113">
            <v>1.95</v>
          </cell>
          <cell r="Q113">
            <v>3.98</v>
          </cell>
          <cell r="R113">
            <v>2.0300000000000002</v>
          </cell>
          <cell r="S113">
            <v>30</v>
          </cell>
          <cell r="T113">
            <v>119.4</v>
          </cell>
          <cell r="V113">
            <v>11.940000000000001</v>
          </cell>
          <cell r="W113">
            <v>107.46000000000001</v>
          </cell>
          <cell r="X113">
            <v>0.83</v>
          </cell>
          <cell r="Y113">
            <v>108.29</v>
          </cell>
        </row>
        <row r="114">
          <cell r="A114" t="str">
            <v>5193-1</v>
          </cell>
          <cell r="B114">
            <v>41484</v>
          </cell>
          <cell r="C114" t="str">
            <v>2013</v>
          </cell>
          <cell r="D114" t="str">
            <v>Nick Zandusky</v>
          </cell>
          <cell r="E114" t="str">
            <v>224A Gertrude St,Fitzroy</v>
          </cell>
          <cell r="F114" t="str">
            <v>Melbourne</v>
          </cell>
          <cell r="G114" t="str">
            <v>VIC</v>
          </cell>
          <cell r="H114" t="str">
            <v>Small Business</v>
          </cell>
          <cell r="I114" t="str">
            <v>Connor Betts</v>
          </cell>
          <cell r="J114" t="str">
            <v>Not Specified</v>
          </cell>
          <cell r="K114" t="str">
            <v>Artisan 481 Labels</v>
          </cell>
          <cell r="L114" t="str">
            <v>Office Supplies</v>
          </cell>
          <cell r="M114" t="str">
            <v>Small Box</v>
          </cell>
          <cell r="N114" t="str">
            <v>Regular Air</v>
          </cell>
          <cell r="O114">
            <v>41485</v>
          </cell>
          <cell r="P114">
            <v>1.94</v>
          </cell>
          <cell r="Q114">
            <v>3.08</v>
          </cell>
          <cell r="R114">
            <v>1.1400000000000001</v>
          </cell>
          <cell r="S114">
            <v>38</v>
          </cell>
          <cell r="T114">
            <v>117.04</v>
          </cell>
          <cell r="V114">
            <v>4.6816000000000004</v>
          </cell>
          <cell r="W114">
            <v>112.3584</v>
          </cell>
          <cell r="X114">
            <v>0.99</v>
          </cell>
          <cell r="Y114">
            <v>113.3484</v>
          </cell>
        </row>
        <row r="115">
          <cell r="A115" t="str">
            <v>5194-1</v>
          </cell>
          <cell r="B115">
            <v>41485</v>
          </cell>
          <cell r="C115" t="str">
            <v>2013</v>
          </cell>
          <cell r="D115" t="str">
            <v>Corinna Mitchell</v>
          </cell>
          <cell r="E115" t="str">
            <v>27 Greenfield Parade,Bankstown</v>
          </cell>
          <cell r="F115" t="str">
            <v>Sydney</v>
          </cell>
          <cell r="G115" t="str">
            <v>NSW</v>
          </cell>
          <cell r="H115" t="str">
            <v>Corporate</v>
          </cell>
          <cell r="I115" t="str">
            <v>Nicholas Fernandes</v>
          </cell>
          <cell r="J115" t="str">
            <v>Not Specified</v>
          </cell>
          <cell r="K115" t="str">
            <v>Emerson C82 Color Inkjet Printer</v>
          </cell>
          <cell r="L115" t="str">
            <v>Technology</v>
          </cell>
          <cell r="M115" t="str">
            <v>Jumbo Drum</v>
          </cell>
          <cell r="N115" t="str">
            <v>Delivery Truck</v>
          </cell>
          <cell r="O115">
            <v>41486</v>
          </cell>
          <cell r="P115">
            <v>76.790000000000006</v>
          </cell>
          <cell r="Q115">
            <v>119.99</v>
          </cell>
          <cell r="R115">
            <v>43.199999999999989</v>
          </cell>
          <cell r="S115">
            <v>24</v>
          </cell>
          <cell r="T115">
            <v>2879.7599999999998</v>
          </cell>
          <cell r="V115">
            <v>57.595199999999998</v>
          </cell>
          <cell r="W115">
            <v>2822.1647999999996</v>
          </cell>
          <cell r="X115">
            <v>14</v>
          </cell>
          <cell r="Y115">
            <v>2836.1647999999996</v>
          </cell>
        </row>
        <row r="116">
          <cell r="A116" t="str">
            <v>5195-1</v>
          </cell>
          <cell r="B116">
            <v>41486</v>
          </cell>
          <cell r="C116" t="str">
            <v>2013</v>
          </cell>
          <cell r="D116" t="str">
            <v>Alex Grayson</v>
          </cell>
          <cell r="E116" t="str">
            <v>74 Lindsay Street, Perth</v>
          </cell>
          <cell r="F116" t="str">
            <v>Sydney</v>
          </cell>
          <cell r="G116" t="str">
            <v>NSW</v>
          </cell>
          <cell r="H116" t="str">
            <v>Consumer</v>
          </cell>
          <cell r="I116" t="str">
            <v>Radhya Staples</v>
          </cell>
          <cell r="J116" t="str">
            <v>Medium</v>
          </cell>
          <cell r="K116" t="str">
            <v>Artisan Durable Binders</v>
          </cell>
          <cell r="L116" t="str">
            <v>Office Supplies</v>
          </cell>
          <cell r="M116" t="str">
            <v>Small Box</v>
          </cell>
          <cell r="N116" t="str">
            <v>Regular Air</v>
          </cell>
          <cell r="O116">
            <v>41487</v>
          </cell>
          <cell r="P116">
            <v>1.84</v>
          </cell>
          <cell r="Q116">
            <v>2.88</v>
          </cell>
          <cell r="R116">
            <v>1.0399999999999998</v>
          </cell>
          <cell r="S116">
            <v>11</v>
          </cell>
          <cell r="T116">
            <v>31.68</v>
          </cell>
          <cell r="V116">
            <v>2.8512</v>
          </cell>
          <cell r="W116">
            <v>28.828800000000001</v>
          </cell>
          <cell r="X116">
            <v>1.49</v>
          </cell>
          <cell r="Y116">
            <v>30.3188</v>
          </cell>
        </row>
        <row r="117">
          <cell r="A117" t="str">
            <v>5195-2</v>
          </cell>
          <cell r="B117">
            <v>41486</v>
          </cell>
          <cell r="C117" t="str">
            <v>2013</v>
          </cell>
          <cell r="D117" t="str">
            <v>Alex Grayson</v>
          </cell>
          <cell r="E117" t="str">
            <v>75 Lindsay Street, Perth</v>
          </cell>
          <cell r="F117" t="str">
            <v>Sydney</v>
          </cell>
          <cell r="G117" t="str">
            <v>NSW</v>
          </cell>
          <cell r="H117" t="str">
            <v>Consumer</v>
          </cell>
          <cell r="I117" t="str">
            <v>Radhya Staples</v>
          </cell>
          <cell r="J117" t="str">
            <v>Medium</v>
          </cell>
          <cell r="K117" t="str">
            <v>Beekin 105-Key Black Keyboard</v>
          </cell>
          <cell r="L117" t="str">
            <v>Technology</v>
          </cell>
          <cell r="M117" t="str">
            <v>Small Box</v>
          </cell>
          <cell r="N117" t="str">
            <v>Regular Air</v>
          </cell>
          <cell r="O117">
            <v>41488</v>
          </cell>
          <cell r="P117">
            <v>6.39</v>
          </cell>
          <cell r="Q117">
            <v>19.98</v>
          </cell>
          <cell r="R117">
            <v>13.59</v>
          </cell>
          <cell r="S117">
            <v>43</v>
          </cell>
          <cell r="T117">
            <v>859.14</v>
          </cell>
          <cell r="V117">
            <v>85.914000000000001</v>
          </cell>
          <cell r="W117">
            <v>773.226</v>
          </cell>
          <cell r="X117">
            <v>4</v>
          </cell>
          <cell r="Y117">
            <v>777.226</v>
          </cell>
        </row>
        <row r="118">
          <cell r="A118" t="str">
            <v>5198-1</v>
          </cell>
          <cell r="B118">
            <v>41488</v>
          </cell>
          <cell r="C118" t="str">
            <v>2013</v>
          </cell>
          <cell r="D118" t="str">
            <v>Chuck Magee</v>
          </cell>
          <cell r="E118" t="str">
            <v>1-2/299 Sussex St,Sydney</v>
          </cell>
          <cell r="F118" t="str">
            <v>Sydney</v>
          </cell>
          <cell r="G118" t="str">
            <v>NSW</v>
          </cell>
          <cell r="H118" t="str">
            <v>Corporate</v>
          </cell>
          <cell r="I118" t="str">
            <v>Aanya Zhang</v>
          </cell>
          <cell r="J118" t="str">
            <v>Not Specified</v>
          </cell>
          <cell r="K118" t="str">
            <v>Pizazz Drawing Pencil Set</v>
          </cell>
          <cell r="L118" t="str">
            <v>Office Supplies</v>
          </cell>
          <cell r="M118" t="str">
            <v>Wrap Bag</v>
          </cell>
          <cell r="N118" t="str">
            <v>Express Air</v>
          </cell>
          <cell r="O118">
            <v>41490</v>
          </cell>
          <cell r="P118">
            <v>1.53</v>
          </cell>
          <cell r="Q118">
            <v>2.78</v>
          </cell>
          <cell r="R118">
            <v>1.2499999999999998</v>
          </cell>
          <cell r="S118">
            <v>40</v>
          </cell>
          <cell r="T118">
            <v>111.19999999999999</v>
          </cell>
          <cell r="V118">
            <v>3.3359999999999994</v>
          </cell>
          <cell r="W118">
            <v>107.86399999999999</v>
          </cell>
          <cell r="X118">
            <v>1.34</v>
          </cell>
          <cell r="Y118">
            <v>109.20399999999999</v>
          </cell>
        </row>
        <row r="119">
          <cell r="A119" t="str">
            <v>5200-1</v>
          </cell>
          <cell r="B119">
            <v>41492</v>
          </cell>
          <cell r="C119" t="str">
            <v>2013</v>
          </cell>
          <cell r="D119" t="str">
            <v>Seth Vernon</v>
          </cell>
          <cell r="E119" t="str">
            <v>541 Church St,Richmond</v>
          </cell>
          <cell r="F119" t="str">
            <v>Melbourne</v>
          </cell>
          <cell r="G119" t="str">
            <v>VIC</v>
          </cell>
          <cell r="H119" t="str">
            <v>Home Office</v>
          </cell>
          <cell r="I119" t="str">
            <v>Yvette Biti</v>
          </cell>
          <cell r="J119" t="str">
            <v>Critical</v>
          </cell>
          <cell r="K119" t="str">
            <v>Artisan Poly Binder Pockets</v>
          </cell>
          <cell r="L119" t="str">
            <v>Office Supplies</v>
          </cell>
          <cell r="M119" t="str">
            <v>Small Box</v>
          </cell>
          <cell r="N119" t="str">
            <v>Regular Air</v>
          </cell>
          <cell r="O119">
            <v>41494</v>
          </cell>
          <cell r="P119">
            <v>2.2599999999999998</v>
          </cell>
          <cell r="Q119">
            <v>3.58</v>
          </cell>
          <cell r="R119">
            <v>1.3200000000000003</v>
          </cell>
          <cell r="S119">
            <v>46</v>
          </cell>
          <cell r="T119">
            <v>164.68</v>
          </cell>
          <cell r="V119">
            <v>9.8808000000000007</v>
          </cell>
          <cell r="W119">
            <v>154.79920000000001</v>
          </cell>
          <cell r="X119">
            <v>5.47</v>
          </cell>
          <cell r="Y119">
            <v>160.26920000000001</v>
          </cell>
        </row>
        <row r="120">
          <cell r="A120" t="str">
            <v>5201-1</v>
          </cell>
          <cell r="B120">
            <v>41493</v>
          </cell>
          <cell r="C120" t="str">
            <v>2013</v>
          </cell>
          <cell r="D120" t="str">
            <v>Vivian Mathis</v>
          </cell>
          <cell r="E120" t="str">
            <v>Crown Complex,Southbank</v>
          </cell>
          <cell r="F120" t="str">
            <v>Melbourne</v>
          </cell>
          <cell r="G120" t="str">
            <v>VIC</v>
          </cell>
          <cell r="H120" t="str">
            <v>Home Office</v>
          </cell>
          <cell r="I120" t="str">
            <v>Yvette Biti</v>
          </cell>
          <cell r="J120" t="str">
            <v>High</v>
          </cell>
          <cell r="K120" t="str">
            <v>Barrel Sharpener</v>
          </cell>
          <cell r="L120" t="str">
            <v>Office Supplies</v>
          </cell>
          <cell r="M120" t="str">
            <v>Small Pack</v>
          </cell>
          <cell r="N120" t="str">
            <v>Regular Air</v>
          </cell>
          <cell r="O120">
            <v>41495</v>
          </cell>
          <cell r="P120">
            <v>1.46</v>
          </cell>
          <cell r="Q120">
            <v>3.57</v>
          </cell>
          <cell r="R120">
            <v>2.11</v>
          </cell>
          <cell r="S120">
            <v>23</v>
          </cell>
          <cell r="T120">
            <v>82.11</v>
          </cell>
          <cell r="V120">
            <v>7.3898999999999999</v>
          </cell>
          <cell r="W120">
            <v>74.720100000000002</v>
          </cell>
          <cell r="X120">
            <v>4.17</v>
          </cell>
          <cell r="Y120">
            <v>78.890100000000004</v>
          </cell>
        </row>
        <row r="121">
          <cell r="A121" t="str">
            <v>5202-1</v>
          </cell>
          <cell r="B121">
            <v>41494</v>
          </cell>
          <cell r="C121" t="str">
            <v>2013</v>
          </cell>
          <cell r="D121" t="str">
            <v>Harold Ryan</v>
          </cell>
          <cell r="E121" t="str">
            <v>4A Lyons St,Strathfield</v>
          </cell>
          <cell r="F121" t="str">
            <v>Sydney</v>
          </cell>
          <cell r="G121" t="str">
            <v>NSW</v>
          </cell>
          <cell r="H121" t="str">
            <v>Home Office</v>
          </cell>
          <cell r="I121" t="str">
            <v>Tina Carlton</v>
          </cell>
          <cell r="J121" t="str">
            <v>Not Specified</v>
          </cell>
          <cell r="K121" t="str">
            <v>TechSavi Internet Navigator Keyboard</v>
          </cell>
          <cell r="L121" t="str">
            <v>Technology</v>
          </cell>
          <cell r="M121" t="str">
            <v>Small Box</v>
          </cell>
          <cell r="N121" t="str">
            <v>Express Air</v>
          </cell>
          <cell r="O121">
            <v>41495</v>
          </cell>
          <cell r="P121">
            <v>6.51</v>
          </cell>
          <cell r="Q121">
            <v>30.98</v>
          </cell>
          <cell r="R121">
            <v>24.47</v>
          </cell>
          <cell r="S121">
            <v>44</v>
          </cell>
          <cell r="T121">
            <v>1363.1200000000001</v>
          </cell>
          <cell r="V121">
            <v>27.262400000000003</v>
          </cell>
          <cell r="W121">
            <v>1335.8576</v>
          </cell>
          <cell r="X121">
            <v>6.5</v>
          </cell>
          <cell r="Y121">
            <v>1342.3576</v>
          </cell>
        </row>
        <row r="122">
          <cell r="A122" t="str">
            <v>5204-1</v>
          </cell>
          <cell r="B122">
            <v>41495</v>
          </cell>
          <cell r="C122" t="str">
            <v>2013</v>
          </cell>
          <cell r="D122" t="str">
            <v>Kean Takahito</v>
          </cell>
          <cell r="E122" t="str">
            <v>21 Wentworth St,Parramatta</v>
          </cell>
          <cell r="F122" t="str">
            <v>Sydney</v>
          </cell>
          <cell r="G122" t="str">
            <v>NSW</v>
          </cell>
          <cell r="H122" t="str">
            <v>Home Office</v>
          </cell>
          <cell r="I122" t="str">
            <v>Aanya Zhang</v>
          </cell>
          <cell r="J122" t="str">
            <v>Not Specified</v>
          </cell>
          <cell r="K122" t="str">
            <v>Binding Machine Supplies</v>
          </cell>
          <cell r="L122" t="str">
            <v>Office Supplies</v>
          </cell>
          <cell r="M122" t="str">
            <v>Small Box</v>
          </cell>
          <cell r="N122" t="str">
            <v>Regular Air</v>
          </cell>
          <cell r="O122">
            <v>41496</v>
          </cell>
          <cell r="P122">
            <v>18.38</v>
          </cell>
          <cell r="Q122">
            <v>29.17</v>
          </cell>
          <cell r="R122">
            <v>10.790000000000003</v>
          </cell>
          <cell r="S122">
            <v>8</v>
          </cell>
          <cell r="T122">
            <v>233.36</v>
          </cell>
          <cell r="V122">
            <v>4.6672000000000002</v>
          </cell>
          <cell r="W122">
            <v>228.69280000000001</v>
          </cell>
          <cell r="X122">
            <v>6.27</v>
          </cell>
          <cell r="Y122">
            <v>234.96280000000002</v>
          </cell>
        </row>
        <row r="123">
          <cell r="A123" t="str">
            <v>5206-1</v>
          </cell>
          <cell r="B123">
            <v>41495</v>
          </cell>
          <cell r="C123" t="str">
            <v>2013</v>
          </cell>
          <cell r="D123" t="str">
            <v>Tony Sayre</v>
          </cell>
          <cell r="E123" t="str">
            <v>499-501 Lygon Street,Carlton North</v>
          </cell>
          <cell r="F123" t="str">
            <v>Melbourne</v>
          </cell>
          <cell r="G123" t="str">
            <v>VIC</v>
          </cell>
          <cell r="H123" t="str">
            <v>Small Business</v>
          </cell>
          <cell r="I123" t="str">
            <v>Yvette Biti</v>
          </cell>
          <cell r="J123" t="str">
            <v>Low</v>
          </cell>
          <cell r="K123" t="str">
            <v>Cando PC940 Copier</v>
          </cell>
          <cell r="L123" t="str">
            <v>Technology</v>
          </cell>
          <cell r="M123" t="str">
            <v>Large Box</v>
          </cell>
          <cell r="N123" t="str">
            <v>Regular Air</v>
          </cell>
          <cell r="O123">
            <v>41499</v>
          </cell>
          <cell r="P123">
            <v>216</v>
          </cell>
          <cell r="Q123">
            <v>449.99</v>
          </cell>
          <cell r="R123">
            <v>233.99</v>
          </cell>
          <cell r="S123">
            <v>40</v>
          </cell>
          <cell r="T123">
            <v>17999.599999999999</v>
          </cell>
          <cell r="V123">
            <v>719.98399999999992</v>
          </cell>
          <cell r="W123">
            <v>17279.615999999998</v>
          </cell>
          <cell r="X123">
            <v>24.49</v>
          </cell>
          <cell r="Y123">
            <v>17304.106</v>
          </cell>
        </row>
        <row r="124">
          <cell r="A124" t="str">
            <v>5207-1</v>
          </cell>
          <cell r="B124">
            <v>41495</v>
          </cell>
          <cell r="C124" t="str">
            <v>2013</v>
          </cell>
          <cell r="D124" t="str">
            <v>Aaron Bergman</v>
          </cell>
          <cell r="E124" t="str">
            <v>Westfield Sydney,Sydney</v>
          </cell>
          <cell r="F124" t="str">
            <v>Sydney</v>
          </cell>
          <cell r="G124" t="str">
            <v>NSW</v>
          </cell>
          <cell r="H124" t="str">
            <v>Corporate</v>
          </cell>
          <cell r="I124" t="str">
            <v>Natasha Song</v>
          </cell>
          <cell r="J124" t="str">
            <v>Low</v>
          </cell>
          <cell r="K124" t="str">
            <v>Cando S750 Color Inkjet Printer</v>
          </cell>
          <cell r="L124" t="str">
            <v>Technology</v>
          </cell>
          <cell r="M124" t="str">
            <v>Jumbo Drum</v>
          </cell>
          <cell r="N124" t="str">
            <v>Delivery Truck</v>
          </cell>
          <cell r="O124">
            <v>41502</v>
          </cell>
          <cell r="P124">
            <v>75</v>
          </cell>
          <cell r="Q124">
            <v>120.97</v>
          </cell>
          <cell r="R124">
            <v>45.97</v>
          </cell>
          <cell r="S124">
            <v>35</v>
          </cell>
          <cell r="T124">
            <v>4233.95</v>
          </cell>
          <cell r="V124">
            <v>338.71600000000001</v>
          </cell>
          <cell r="W124">
            <v>3895.2339999999999</v>
          </cell>
          <cell r="X124">
            <v>26.3</v>
          </cell>
          <cell r="Y124">
            <v>3921.5340000000001</v>
          </cell>
        </row>
        <row r="125">
          <cell r="A125" t="str">
            <v>5208-1</v>
          </cell>
          <cell r="B125">
            <v>41496</v>
          </cell>
          <cell r="C125" t="str">
            <v>2013</v>
          </cell>
          <cell r="D125" t="str">
            <v>Edward Hooks</v>
          </cell>
          <cell r="E125" t="str">
            <v>224A Gertrude St,Fitzroy</v>
          </cell>
          <cell r="F125" t="str">
            <v>Melbourne</v>
          </cell>
          <cell r="G125" t="str">
            <v>VIC</v>
          </cell>
          <cell r="H125" t="str">
            <v>Consumer</v>
          </cell>
          <cell r="I125" t="str">
            <v>Connor Betts</v>
          </cell>
          <cell r="J125" t="str">
            <v>High</v>
          </cell>
          <cell r="K125" t="str">
            <v>Binder Posts</v>
          </cell>
          <cell r="L125" t="str">
            <v>Office Supplies</v>
          </cell>
          <cell r="M125" t="str">
            <v>Small Box</v>
          </cell>
          <cell r="N125" t="str">
            <v>Regular Air</v>
          </cell>
          <cell r="O125">
            <v>41498</v>
          </cell>
          <cell r="P125">
            <v>3.5</v>
          </cell>
          <cell r="Q125">
            <v>5.74</v>
          </cell>
          <cell r="R125">
            <v>2.2400000000000002</v>
          </cell>
          <cell r="S125">
            <v>50</v>
          </cell>
          <cell r="T125">
            <v>287</v>
          </cell>
          <cell r="V125">
            <v>28.700000000000003</v>
          </cell>
          <cell r="W125">
            <v>258.3</v>
          </cell>
          <cell r="X125">
            <v>5.01</v>
          </cell>
          <cell r="Y125">
            <v>263.31</v>
          </cell>
        </row>
        <row r="126">
          <cell r="A126" t="str">
            <v>5209-1</v>
          </cell>
          <cell r="B126">
            <v>41497</v>
          </cell>
          <cell r="C126" t="str">
            <v>2013</v>
          </cell>
          <cell r="D126" t="str">
            <v>Liz Willingham</v>
          </cell>
          <cell r="E126" t="str">
            <v>60 Commercial Rd,Prahran</v>
          </cell>
          <cell r="F126" t="str">
            <v>Melbourne</v>
          </cell>
          <cell r="G126" t="str">
            <v>VIC</v>
          </cell>
          <cell r="H126" t="str">
            <v>Corporate</v>
          </cell>
          <cell r="I126" t="str">
            <v>Yvette Biti</v>
          </cell>
          <cell r="J126" t="str">
            <v>Low</v>
          </cell>
          <cell r="K126" t="str">
            <v>Binder Clips by OIC</v>
          </cell>
          <cell r="L126" t="str">
            <v>Office Supplies</v>
          </cell>
          <cell r="M126" t="str">
            <v>Wrap Bag</v>
          </cell>
          <cell r="N126" t="str">
            <v>Regular Air</v>
          </cell>
          <cell r="O126">
            <v>41499</v>
          </cell>
          <cell r="P126">
            <v>0.93</v>
          </cell>
          <cell r="Q126">
            <v>1.48</v>
          </cell>
          <cell r="R126">
            <v>0.54999999999999993</v>
          </cell>
          <cell r="S126">
            <v>19</v>
          </cell>
          <cell r="T126">
            <v>28.12</v>
          </cell>
          <cell r="V126">
            <v>2.5308000000000002</v>
          </cell>
          <cell r="W126">
            <v>25.589200000000002</v>
          </cell>
          <cell r="X126">
            <v>0.7</v>
          </cell>
          <cell r="Y126">
            <v>26.289200000000001</v>
          </cell>
        </row>
        <row r="127">
          <cell r="A127" t="str">
            <v>5211-1</v>
          </cell>
          <cell r="B127">
            <v>41498</v>
          </cell>
          <cell r="C127" t="str">
            <v>2013</v>
          </cell>
          <cell r="D127" t="str">
            <v>Dave Poirier</v>
          </cell>
          <cell r="E127" t="str">
            <v>402 Argyle St,Moss Vale</v>
          </cell>
          <cell r="F127" t="str">
            <v>Sydney</v>
          </cell>
          <cell r="G127" t="str">
            <v>NSW</v>
          </cell>
          <cell r="H127" t="str">
            <v>Small Business</v>
          </cell>
          <cell r="I127" t="str">
            <v>Natasha Song</v>
          </cell>
          <cell r="J127" t="str">
            <v>High</v>
          </cell>
          <cell r="K127" t="str">
            <v>Economy Rollaway Files</v>
          </cell>
          <cell r="L127" t="str">
            <v>Office Supplies</v>
          </cell>
          <cell r="M127" t="str">
            <v>Small Box</v>
          </cell>
          <cell r="N127" t="str">
            <v>Express Air</v>
          </cell>
          <cell r="O127">
            <v>41500</v>
          </cell>
          <cell r="P127">
            <v>67.73</v>
          </cell>
          <cell r="Q127">
            <v>165.2</v>
          </cell>
          <cell r="R127">
            <v>97.469999999999985</v>
          </cell>
          <cell r="S127">
            <v>37</v>
          </cell>
          <cell r="T127">
            <v>6112.4</v>
          </cell>
          <cell r="V127">
            <v>244.49599999999998</v>
          </cell>
          <cell r="W127">
            <v>5867.9039999999995</v>
          </cell>
          <cell r="X127">
            <v>19.989999999999998</v>
          </cell>
          <cell r="Y127">
            <v>5887.8939999999993</v>
          </cell>
        </row>
        <row r="128">
          <cell r="A128" t="str">
            <v>5212-1</v>
          </cell>
          <cell r="B128">
            <v>41500</v>
          </cell>
          <cell r="C128" t="str">
            <v>2013</v>
          </cell>
          <cell r="D128" t="str">
            <v>Justin Knight</v>
          </cell>
          <cell r="E128" t="str">
            <v>Macquarie Centre Cnr Herring Road &amp; Waterloo Road,Macquarie Park</v>
          </cell>
          <cell r="F128" t="str">
            <v>Sydney</v>
          </cell>
          <cell r="G128" t="str">
            <v>NSW</v>
          </cell>
          <cell r="H128" t="str">
            <v>Corporate</v>
          </cell>
          <cell r="I128" t="str">
            <v>Nicholas Fernandes</v>
          </cell>
          <cell r="J128" t="str">
            <v>Low</v>
          </cell>
          <cell r="K128" t="str">
            <v>Self-Adhesive Ring Binder Labels</v>
          </cell>
          <cell r="L128" t="str">
            <v>Office Supplies</v>
          </cell>
          <cell r="M128" t="str">
            <v>Small Box</v>
          </cell>
          <cell r="N128" t="str">
            <v>Regular Air</v>
          </cell>
          <cell r="O128">
            <v>41509</v>
          </cell>
          <cell r="P128">
            <v>2.1800000000000002</v>
          </cell>
          <cell r="Q128">
            <v>3.52</v>
          </cell>
          <cell r="R128">
            <v>1.3399999999999999</v>
          </cell>
          <cell r="S128">
            <v>12</v>
          </cell>
          <cell r="T128">
            <v>42.24</v>
          </cell>
          <cell r="V128">
            <v>1.6896000000000002</v>
          </cell>
          <cell r="W128">
            <v>40.550400000000003</v>
          </cell>
          <cell r="X128">
            <v>6.83</v>
          </cell>
          <cell r="Y128">
            <v>47.380400000000002</v>
          </cell>
        </row>
        <row r="129">
          <cell r="A129" t="str">
            <v>5213-1</v>
          </cell>
          <cell r="B129">
            <v>41501</v>
          </cell>
          <cell r="C129" t="str">
            <v>2013</v>
          </cell>
          <cell r="D129" t="str">
            <v>Aaron Bergman</v>
          </cell>
          <cell r="E129" t="str">
            <v>Westfield Sydney,Sydney</v>
          </cell>
          <cell r="F129" t="str">
            <v>Sydney</v>
          </cell>
          <cell r="G129" t="str">
            <v>NSW</v>
          </cell>
          <cell r="H129" t="str">
            <v>Corporate</v>
          </cell>
          <cell r="I129" t="str">
            <v>Natasha Song</v>
          </cell>
          <cell r="J129" t="str">
            <v>High</v>
          </cell>
          <cell r="K129" t="str">
            <v>Steady Liquid Accent Tank-Style Highlighters</v>
          </cell>
          <cell r="L129" t="str">
            <v>Office Supplies</v>
          </cell>
          <cell r="M129" t="str">
            <v>Wrap Bag</v>
          </cell>
          <cell r="N129" t="str">
            <v>Express Air</v>
          </cell>
          <cell r="O129">
            <v>41502</v>
          </cell>
          <cell r="P129">
            <v>1.31</v>
          </cell>
          <cell r="Q129">
            <v>2.84</v>
          </cell>
          <cell r="R129">
            <v>1.5299999999999998</v>
          </cell>
          <cell r="S129">
            <v>13</v>
          </cell>
          <cell r="T129">
            <v>36.92</v>
          </cell>
          <cell r="V129">
            <v>0.36920000000000003</v>
          </cell>
          <cell r="W129">
            <v>36.550800000000002</v>
          </cell>
          <cell r="X129">
            <v>0.93</v>
          </cell>
          <cell r="Y129">
            <v>37.480800000000002</v>
          </cell>
        </row>
        <row r="130">
          <cell r="A130" t="str">
            <v>5214-1</v>
          </cell>
          <cell r="B130">
            <v>41503</v>
          </cell>
          <cell r="C130" t="str">
            <v>2013</v>
          </cell>
          <cell r="D130" t="str">
            <v>Valerie Dominguez</v>
          </cell>
          <cell r="E130" t="str">
            <v>37/59 Brewer Street</v>
          </cell>
          <cell r="F130" t="str">
            <v>Perth</v>
          </cell>
          <cell r="G130" t="str">
            <v>WA</v>
          </cell>
          <cell r="H130" t="str">
            <v>Corporate</v>
          </cell>
          <cell r="I130" t="str">
            <v>Tina Carlton</v>
          </cell>
          <cell r="J130" t="str">
            <v>Not Specified</v>
          </cell>
          <cell r="K130" t="str">
            <v>EcoTones Memo Sheets</v>
          </cell>
          <cell r="L130" t="str">
            <v>Office Supplies</v>
          </cell>
          <cell r="M130" t="str">
            <v>Wrap Bag</v>
          </cell>
          <cell r="N130" t="str">
            <v>Regular Air</v>
          </cell>
          <cell r="O130">
            <v>41503</v>
          </cell>
          <cell r="P130">
            <v>2.52</v>
          </cell>
          <cell r="Q130">
            <v>4</v>
          </cell>
          <cell r="R130">
            <v>1.48</v>
          </cell>
          <cell r="S130">
            <v>41</v>
          </cell>
          <cell r="T130">
            <v>164</v>
          </cell>
          <cell r="V130">
            <v>3.2800000000000002</v>
          </cell>
          <cell r="W130">
            <v>160.72</v>
          </cell>
          <cell r="X130">
            <v>1.3</v>
          </cell>
          <cell r="Y130">
            <v>162.02000000000001</v>
          </cell>
        </row>
        <row r="131">
          <cell r="A131" t="str">
            <v>5215-1</v>
          </cell>
          <cell r="B131">
            <v>41506</v>
          </cell>
          <cell r="C131" t="str">
            <v>2013</v>
          </cell>
          <cell r="D131" t="str">
            <v>Jennifer Patt</v>
          </cell>
          <cell r="E131" t="str">
            <v>523 King St,Newtown</v>
          </cell>
          <cell r="F131" t="str">
            <v>Sydney</v>
          </cell>
          <cell r="G131" t="str">
            <v>NSW</v>
          </cell>
          <cell r="H131" t="str">
            <v>Home Office</v>
          </cell>
          <cell r="I131" t="str">
            <v>Aanya Zhang</v>
          </cell>
          <cell r="J131" t="str">
            <v>High</v>
          </cell>
          <cell r="K131" t="str">
            <v>3Max Polarizing Task Lamp with Clamp Arm, Light Gray</v>
          </cell>
          <cell r="L131" t="str">
            <v>Furniture</v>
          </cell>
          <cell r="M131" t="str">
            <v>Large Box</v>
          </cell>
          <cell r="N131" t="str">
            <v>Express Air</v>
          </cell>
          <cell r="O131">
            <v>41508</v>
          </cell>
          <cell r="P131">
            <v>56.16</v>
          </cell>
          <cell r="Q131">
            <v>136.97999999999999</v>
          </cell>
          <cell r="R131">
            <v>80.819999999999993</v>
          </cell>
          <cell r="S131">
            <v>41</v>
          </cell>
          <cell r="T131">
            <v>5616.1799999999994</v>
          </cell>
          <cell r="V131">
            <v>224.64719999999997</v>
          </cell>
          <cell r="W131">
            <v>5391.532799999999</v>
          </cell>
          <cell r="X131">
            <v>24.49</v>
          </cell>
          <cell r="Y131">
            <v>5416.0227999999988</v>
          </cell>
        </row>
        <row r="132">
          <cell r="A132" t="str">
            <v>5216-1</v>
          </cell>
          <cell r="B132">
            <v>41506</v>
          </cell>
          <cell r="C132" t="str">
            <v>2013</v>
          </cell>
          <cell r="D132" t="str">
            <v>Cynthia Arntzen</v>
          </cell>
          <cell r="E132" t="str">
            <v>Hoyts Entertainment Quarter 122 Lang Road,Moore Park</v>
          </cell>
          <cell r="F132" t="str">
            <v>Sydney</v>
          </cell>
          <cell r="G132" t="str">
            <v>NSW</v>
          </cell>
          <cell r="H132" t="str">
            <v>Small Business</v>
          </cell>
          <cell r="I132" t="str">
            <v>Tina Carlton</v>
          </cell>
          <cell r="J132" t="str">
            <v>Low</v>
          </cell>
          <cell r="K132" t="str">
            <v>Steady Liquid Accent Highlighters</v>
          </cell>
          <cell r="L132" t="str">
            <v>Office Supplies</v>
          </cell>
          <cell r="M132" t="str">
            <v>Wrap Bag</v>
          </cell>
          <cell r="N132" t="str">
            <v>Regular Air</v>
          </cell>
          <cell r="O132">
            <v>41508</v>
          </cell>
          <cell r="P132">
            <v>3.47</v>
          </cell>
          <cell r="Q132">
            <v>6.68</v>
          </cell>
          <cell r="R132">
            <v>3.2099999999999995</v>
          </cell>
          <cell r="S132">
            <v>5</v>
          </cell>
          <cell r="T132">
            <v>33.4</v>
          </cell>
          <cell r="V132">
            <v>3.0059999999999998</v>
          </cell>
          <cell r="W132">
            <v>30.393999999999998</v>
          </cell>
          <cell r="X132">
            <v>1.5</v>
          </cell>
          <cell r="Y132">
            <v>31.893999999999998</v>
          </cell>
        </row>
        <row r="133">
          <cell r="A133" t="str">
            <v>5218-1</v>
          </cell>
          <cell r="B133">
            <v>41508</v>
          </cell>
          <cell r="C133" t="str">
            <v>2013</v>
          </cell>
          <cell r="D133" t="str">
            <v>Bradley Drucker</v>
          </cell>
          <cell r="E133" t="str">
            <v>1 John St,Waterloo</v>
          </cell>
          <cell r="F133" t="str">
            <v>Sydney</v>
          </cell>
          <cell r="G133" t="str">
            <v>NSW</v>
          </cell>
          <cell r="H133" t="str">
            <v>Small Business</v>
          </cell>
          <cell r="I133" t="str">
            <v>Charlie Bui</v>
          </cell>
          <cell r="J133" t="str">
            <v>Low</v>
          </cell>
          <cell r="K133" t="str">
            <v>Economy Rollaway Files</v>
          </cell>
          <cell r="L133" t="str">
            <v>Office Supplies</v>
          </cell>
          <cell r="M133" t="str">
            <v>Small Box</v>
          </cell>
          <cell r="N133" t="str">
            <v>Regular Air</v>
          </cell>
          <cell r="O133">
            <v>41510</v>
          </cell>
          <cell r="P133">
            <v>67.73</v>
          </cell>
          <cell r="Q133">
            <v>165.2</v>
          </cell>
          <cell r="R133">
            <v>97.469999999999985</v>
          </cell>
          <cell r="S133">
            <v>23</v>
          </cell>
          <cell r="T133">
            <v>3799.6</v>
          </cell>
          <cell r="V133">
            <v>265.97200000000004</v>
          </cell>
          <cell r="W133">
            <v>3533.6279999999997</v>
          </cell>
          <cell r="X133">
            <v>19.989999999999998</v>
          </cell>
          <cell r="Y133">
            <v>3553.6179999999995</v>
          </cell>
        </row>
        <row r="134">
          <cell r="A134" t="str">
            <v>5220-1</v>
          </cell>
          <cell r="B134">
            <v>41510</v>
          </cell>
          <cell r="C134" t="str">
            <v>2013</v>
          </cell>
          <cell r="D134" t="str">
            <v>Skye Norling</v>
          </cell>
          <cell r="E134" t="str">
            <v>48 Albion St,Surry Hills</v>
          </cell>
          <cell r="F134" t="str">
            <v>Sydney</v>
          </cell>
          <cell r="G134" t="str">
            <v>NSW</v>
          </cell>
          <cell r="H134" t="str">
            <v>Home Office</v>
          </cell>
          <cell r="I134" t="str">
            <v>Natasha Song</v>
          </cell>
          <cell r="J134" t="str">
            <v>Not Specified</v>
          </cell>
          <cell r="K134" t="str">
            <v>Apex Straight Scissors</v>
          </cell>
          <cell r="L134" t="str">
            <v>Office Supplies</v>
          </cell>
          <cell r="M134" t="str">
            <v>Small Pack</v>
          </cell>
          <cell r="N134" t="str">
            <v>Regular Air</v>
          </cell>
          <cell r="O134">
            <v>41513</v>
          </cell>
          <cell r="P134">
            <v>5.19</v>
          </cell>
          <cell r="Q134">
            <v>12.98</v>
          </cell>
          <cell r="R134">
            <v>7.79</v>
          </cell>
          <cell r="S134">
            <v>45</v>
          </cell>
          <cell r="T134">
            <v>584.1</v>
          </cell>
          <cell r="V134">
            <v>11.682</v>
          </cell>
          <cell r="W134">
            <v>572.41800000000001</v>
          </cell>
          <cell r="X134">
            <v>3.14</v>
          </cell>
          <cell r="Y134">
            <v>575.55799999999999</v>
          </cell>
        </row>
        <row r="135">
          <cell r="A135" t="str">
            <v>5221-1</v>
          </cell>
          <cell r="B135">
            <v>41511</v>
          </cell>
          <cell r="C135" t="str">
            <v>2013</v>
          </cell>
          <cell r="D135" t="str">
            <v>Bruce Degenhardt</v>
          </cell>
          <cell r="E135" t="str">
            <v>501 George St,Sydney</v>
          </cell>
          <cell r="F135" t="str">
            <v>Sydney</v>
          </cell>
          <cell r="G135" t="str">
            <v>NSW</v>
          </cell>
          <cell r="H135" t="str">
            <v>Home Office</v>
          </cell>
          <cell r="I135" t="str">
            <v>Samantha Chairs</v>
          </cell>
          <cell r="J135" t="str">
            <v>Not Specified</v>
          </cell>
          <cell r="K135" t="str">
            <v>Smiths General Use 3-Ring Binders</v>
          </cell>
          <cell r="L135" t="str">
            <v>Office Supplies</v>
          </cell>
          <cell r="M135" t="str">
            <v>Small Box</v>
          </cell>
          <cell r="N135" t="str">
            <v>Regular Air</v>
          </cell>
          <cell r="O135">
            <v>41512</v>
          </cell>
          <cell r="P135">
            <v>1.18</v>
          </cell>
          <cell r="Q135">
            <v>1.88</v>
          </cell>
          <cell r="R135">
            <v>0.7</v>
          </cell>
          <cell r="S135">
            <v>42</v>
          </cell>
          <cell r="T135">
            <v>78.959999999999994</v>
          </cell>
          <cell r="V135">
            <v>0</v>
          </cell>
          <cell r="W135">
            <v>78.959999999999994</v>
          </cell>
          <cell r="X135">
            <v>1.49</v>
          </cell>
          <cell r="Y135">
            <v>80.449999999999989</v>
          </cell>
        </row>
        <row r="136">
          <cell r="A136" t="str">
            <v>5222-1</v>
          </cell>
          <cell r="B136">
            <v>41511</v>
          </cell>
          <cell r="C136" t="str">
            <v>2013</v>
          </cell>
          <cell r="D136" t="str">
            <v>John Castell</v>
          </cell>
          <cell r="E136" t="str">
            <v>38/133-145 Castlereagh St,Sydney</v>
          </cell>
          <cell r="F136" t="str">
            <v>Sydney</v>
          </cell>
          <cell r="G136" t="str">
            <v>NSW</v>
          </cell>
          <cell r="H136" t="str">
            <v>Small Business</v>
          </cell>
          <cell r="I136" t="str">
            <v>Natasha Song</v>
          </cell>
          <cell r="J136" t="str">
            <v>Medium</v>
          </cell>
          <cell r="K136" t="str">
            <v>Smiths Standard Envelopes</v>
          </cell>
          <cell r="L136" t="str">
            <v>Office Supplies</v>
          </cell>
          <cell r="M136" t="str">
            <v>Small Box</v>
          </cell>
          <cell r="N136" t="str">
            <v>Regular Air</v>
          </cell>
          <cell r="O136">
            <v>41512</v>
          </cell>
          <cell r="P136">
            <v>3.52</v>
          </cell>
          <cell r="Q136">
            <v>5.68</v>
          </cell>
          <cell r="R136">
            <v>2.1599999999999997</v>
          </cell>
          <cell r="S136">
            <v>32</v>
          </cell>
          <cell r="T136">
            <v>181.76</v>
          </cell>
          <cell r="V136">
            <v>9.0879999999999992</v>
          </cell>
          <cell r="W136">
            <v>172.672</v>
          </cell>
          <cell r="X136">
            <v>1.39</v>
          </cell>
          <cell r="Y136">
            <v>174.06199999999998</v>
          </cell>
        </row>
        <row r="137">
          <cell r="A137" t="str">
            <v>5224-1</v>
          </cell>
          <cell r="B137">
            <v>41514</v>
          </cell>
          <cell r="C137" t="str">
            <v>2013</v>
          </cell>
          <cell r="D137" t="str">
            <v>Neil French</v>
          </cell>
          <cell r="E137" t="str">
            <v>523 King St,Newtown</v>
          </cell>
          <cell r="F137" t="str">
            <v>Sydney</v>
          </cell>
          <cell r="G137" t="str">
            <v>NSW</v>
          </cell>
          <cell r="H137" t="str">
            <v>Consumer</v>
          </cell>
          <cell r="I137" t="str">
            <v>Aanya Zhang</v>
          </cell>
          <cell r="J137" t="str">
            <v>Not Specified</v>
          </cell>
          <cell r="K137" t="str">
            <v>Artisan 481 Labels</v>
          </cell>
          <cell r="L137" t="str">
            <v>Office Supplies</v>
          </cell>
          <cell r="M137" t="str">
            <v>Small Box</v>
          </cell>
          <cell r="N137" t="str">
            <v>Regular Air</v>
          </cell>
          <cell r="O137">
            <v>41515</v>
          </cell>
          <cell r="P137">
            <v>1.94</v>
          </cell>
          <cell r="Q137">
            <v>3.08</v>
          </cell>
          <cell r="R137">
            <v>1.1400000000000001</v>
          </cell>
          <cell r="S137">
            <v>45</v>
          </cell>
          <cell r="T137">
            <v>138.6</v>
          </cell>
          <cell r="V137">
            <v>5.5439999999999996</v>
          </cell>
          <cell r="W137">
            <v>133.05599999999998</v>
          </cell>
          <cell r="X137">
            <v>0.99</v>
          </cell>
          <cell r="Y137">
            <v>134.04599999999999</v>
          </cell>
        </row>
        <row r="138">
          <cell r="A138" t="str">
            <v>5225-1</v>
          </cell>
          <cell r="B138">
            <v>41515</v>
          </cell>
          <cell r="C138" t="str">
            <v>2013</v>
          </cell>
          <cell r="D138" t="str">
            <v>John Castell</v>
          </cell>
          <cell r="E138" t="str">
            <v>38/133-145 Castlereagh St,Sydney</v>
          </cell>
          <cell r="F138" t="str">
            <v>Sydney</v>
          </cell>
          <cell r="G138" t="str">
            <v>NSW</v>
          </cell>
          <cell r="H138" t="str">
            <v>Consumer</v>
          </cell>
          <cell r="I138" t="str">
            <v>Natasha Song</v>
          </cell>
          <cell r="J138" t="str">
            <v>Not Specified</v>
          </cell>
          <cell r="K138" t="str">
            <v>Artisan Premier Heavy-Duty Binder with Round Locking Rings</v>
          </cell>
          <cell r="L138" t="str">
            <v>Office Supplies</v>
          </cell>
          <cell r="M138" t="str">
            <v>Small Box</v>
          </cell>
          <cell r="N138" t="str">
            <v>Regular Air</v>
          </cell>
          <cell r="O138">
            <v>41516</v>
          </cell>
          <cell r="P138">
            <v>8.7100000000000009</v>
          </cell>
          <cell r="Q138">
            <v>14.28</v>
          </cell>
          <cell r="R138">
            <v>5.5699999999999985</v>
          </cell>
          <cell r="S138">
            <v>8</v>
          </cell>
          <cell r="T138">
            <v>114.24</v>
          </cell>
          <cell r="V138">
            <v>1.1424000000000001</v>
          </cell>
          <cell r="W138">
            <v>113.0976</v>
          </cell>
          <cell r="X138">
            <v>2.99</v>
          </cell>
          <cell r="Y138">
            <v>116.08759999999999</v>
          </cell>
        </row>
        <row r="139">
          <cell r="A139" t="str">
            <v>5226-1</v>
          </cell>
          <cell r="B139">
            <v>41515</v>
          </cell>
          <cell r="C139" t="str">
            <v>2013</v>
          </cell>
          <cell r="D139" t="str">
            <v>Nancy Lomonaco</v>
          </cell>
          <cell r="E139" t="str">
            <v>523 King St,Newtown</v>
          </cell>
          <cell r="F139" t="str">
            <v>Sydney</v>
          </cell>
          <cell r="G139" t="str">
            <v>NSW</v>
          </cell>
          <cell r="H139" t="str">
            <v>Home Office</v>
          </cell>
          <cell r="I139" t="str">
            <v>Aanya Zhang</v>
          </cell>
          <cell r="J139" t="str">
            <v>Low</v>
          </cell>
          <cell r="K139" t="str">
            <v>TechSavi Cordless Elite Duo</v>
          </cell>
          <cell r="L139" t="str">
            <v>Technology</v>
          </cell>
          <cell r="M139" t="str">
            <v>Small Box</v>
          </cell>
          <cell r="N139" t="str">
            <v>Regular Air</v>
          </cell>
          <cell r="O139">
            <v>41520</v>
          </cell>
          <cell r="P139">
            <v>60.59</v>
          </cell>
          <cell r="Q139">
            <v>100.98</v>
          </cell>
          <cell r="R139">
            <v>40.39</v>
          </cell>
          <cell r="S139">
            <v>12</v>
          </cell>
          <cell r="T139">
            <v>1211.76</v>
          </cell>
          <cell r="V139">
            <v>48.470399999999998</v>
          </cell>
          <cell r="W139">
            <v>1163.2896000000001</v>
          </cell>
          <cell r="X139">
            <v>7.18</v>
          </cell>
          <cell r="Y139">
            <v>1170.4696000000001</v>
          </cell>
        </row>
        <row r="140">
          <cell r="A140" t="str">
            <v>5227-1</v>
          </cell>
          <cell r="B140">
            <v>41516</v>
          </cell>
          <cell r="C140" t="str">
            <v>2013</v>
          </cell>
          <cell r="D140" t="str">
            <v>Nancy Lomonaco</v>
          </cell>
          <cell r="E140" t="str">
            <v>523 King St,Newtown</v>
          </cell>
          <cell r="F140" t="str">
            <v>Sydney</v>
          </cell>
          <cell r="G140" t="str">
            <v>NSW</v>
          </cell>
          <cell r="H140" t="str">
            <v>Home Office</v>
          </cell>
          <cell r="I140" t="str">
            <v>Aanya Zhang</v>
          </cell>
          <cell r="J140" t="str">
            <v>Medium</v>
          </cell>
          <cell r="K140" t="str">
            <v>Artisan Binder Labels</v>
          </cell>
          <cell r="L140" t="str">
            <v>Office Supplies</v>
          </cell>
          <cell r="M140" t="str">
            <v>Small Box</v>
          </cell>
          <cell r="N140" t="str">
            <v>Express Air</v>
          </cell>
          <cell r="O140">
            <v>41518</v>
          </cell>
          <cell r="P140">
            <v>2.4500000000000002</v>
          </cell>
          <cell r="Q140">
            <v>3.89</v>
          </cell>
          <cell r="R140">
            <v>1.44</v>
          </cell>
          <cell r="S140">
            <v>32</v>
          </cell>
          <cell r="T140">
            <v>124.48</v>
          </cell>
          <cell r="V140">
            <v>11.203200000000001</v>
          </cell>
          <cell r="W140">
            <v>113.27680000000001</v>
          </cell>
          <cell r="X140">
            <v>7.01</v>
          </cell>
          <cell r="Y140">
            <v>120.28680000000001</v>
          </cell>
        </row>
        <row r="141">
          <cell r="A141" t="str">
            <v>5229-1</v>
          </cell>
          <cell r="B141">
            <v>41518</v>
          </cell>
          <cell r="C141" t="str">
            <v>2013</v>
          </cell>
          <cell r="D141" t="str">
            <v>Carol Triggs</v>
          </cell>
          <cell r="E141" t="str">
            <v>15 Aberdeen Street</v>
          </cell>
          <cell r="F141" t="str">
            <v>Perth</v>
          </cell>
          <cell r="G141" t="str">
            <v>WA</v>
          </cell>
          <cell r="H141" t="str">
            <v>Home Office</v>
          </cell>
          <cell r="I141" t="str">
            <v>Radhya Staples</v>
          </cell>
          <cell r="J141" t="str">
            <v>Critical</v>
          </cell>
          <cell r="K141" t="str">
            <v>Smiths General Use 3-Ring Binders</v>
          </cell>
          <cell r="L141" t="str">
            <v>Office Supplies</v>
          </cell>
          <cell r="M141" t="str">
            <v>Small Box</v>
          </cell>
          <cell r="N141" t="str">
            <v>Regular Air</v>
          </cell>
          <cell r="O141">
            <v>41519</v>
          </cell>
          <cell r="P141">
            <v>1.18</v>
          </cell>
          <cell r="Q141">
            <v>1.88</v>
          </cell>
          <cell r="R141">
            <v>0.7</v>
          </cell>
          <cell r="S141">
            <v>43</v>
          </cell>
          <cell r="T141">
            <v>80.839999999999989</v>
          </cell>
          <cell r="V141">
            <v>2.4251999999999998</v>
          </cell>
          <cell r="W141">
            <v>78.414799999999985</v>
          </cell>
          <cell r="X141">
            <v>1.49</v>
          </cell>
          <cell r="Y141">
            <v>79.90479999999998</v>
          </cell>
        </row>
        <row r="142">
          <cell r="A142" t="str">
            <v>5231-1</v>
          </cell>
          <cell r="B142">
            <v>41519</v>
          </cell>
          <cell r="C142" t="str">
            <v>2013</v>
          </cell>
          <cell r="D142" t="str">
            <v>Andrew Allen</v>
          </cell>
          <cell r="E142" t="str">
            <v>15 Aberdeen Street, Perth</v>
          </cell>
          <cell r="F142" t="str">
            <v>Sydney</v>
          </cell>
          <cell r="G142" t="str">
            <v>NSW</v>
          </cell>
          <cell r="H142" t="str">
            <v>Corporate</v>
          </cell>
          <cell r="I142" t="str">
            <v>Phoebe Gour</v>
          </cell>
          <cell r="J142" t="str">
            <v>High</v>
          </cell>
          <cell r="K142" t="str">
            <v>Beekin 6 Outlet Metallic Surge Strip</v>
          </cell>
          <cell r="L142" t="str">
            <v>Office Supplies</v>
          </cell>
          <cell r="M142" t="str">
            <v>Small Box</v>
          </cell>
          <cell r="N142" t="str">
            <v>Regular Air</v>
          </cell>
          <cell r="O142">
            <v>41520</v>
          </cell>
          <cell r="P142">
            <v>4.46</v>
          </cell>
          <cell r="Q142">
            <v>10.89</v>
          </cell>
          <cell r="R142">
            <v>6.4300000000000006</v>
          </cell>
          <cell r="S142">
            <v>9</v>
          </cell>
          <cell r="T142">
            <v>98.01</v>
          </cell>
          <cell r="V142">
            <v>2.9403000000000001</v>
          </cell>
          <cell r="W142">
            <v>95.069700000000012</v>
          </cell>
          <cell r="X142">
            <v>4.5</v>
          </cell>
          <cell r="Y142">
            <v>99.569700000000012</v>
          </cell>
        </row>
        <row r="143">
          <cell r="A143" t="str">
            <v>5232-1</v>
          </cell>
          <cell r="B143">
            <v>41520</v>
          </cell>
          <cell r="C143" t="str">
            <v>2013</v>
          </cell>
          <cell r="D143" t="str">
            <v>Rob Haberlin</v>
          </cell>
          <cell r="E143" t="str">
            <v>8 Rankins Lane ,Melbourne</v>
          </cell>
          <cell r="F143" t="str">
            <v>Melbourne</v>
          </cell>
          <cell r="G143" t="str">
            <v>VIC</v>
          </cell>
          <cell r="H143" t="str">
            <v>Corporate</v>
          </cell>
          <cell r="I143" t="str">
            <v>Connor Betts</v>
          </cell>
          <cell r="J143" t="str">
            <v>Low</v>
          </cell>
          <cell r="K143" t="str">
            <v>Barrel Sharpener</v>
          </cell>
          <cell r="L143" t="str">
            <v>Office Supplies</v>
          </cell>
          <cell r="M143" t="str">
            <v>Small Pack</v>
          </cell>
          <cell r="N143" t="str">
            <v>Regular Air</v>
          </cell>
          <cell r="O143">
            <v>41522</v>
          </cell>
          <cell r="P143">
            <v>1.46</v>
          </cell>
          <cell r="Q143">
            <v>3.57</v>
          </cell>
          <cell r="R143">
            <v>2.11</v>
          </cell>
          <cell r="S143">
            <v>26</v>
          </cell>
          <cell r="T143">
            <v>92.82</v>
          </cell>
          <cell r="V143">
            <v>3.7127999999999997</v>
          </cell>
          <cell r="W143">
            <v>89.107199999999992</v>
          </cell>
          <cell r="X143">
            <v>4.17</v>
          </cell>
          <cell r="Y143">
            <v>93.277199999999993</v>
          </cell>
        </row>
        <row r="144">
          <cell r="A144" t="str">
            <v>5234-1</v>
          </cell>
          <cell r="B144">
            <v>41521</v>
          </cell>
          <cell r="C144" t="str">
            <v>2013</v>
          </cell>
          <cell r="D144" t="str">
            <v>Darrin Martin</v>
          </cell>
          <cell r="E144" t="str">
            <v>221 Barkly St,St Kilda</v>
          </cell>
          <cell r="F144" t="str">
            <v>Melbourne</v>
          </cell>
          <cell r="G144" t="str">
            <v>VIC</v>
          </cell>
          <cell r="H144" t="str">
            <v>Small Business</v>
          </cell>
          <cell r="I144" t="str">
            <v>Yvette Biti</v>
          </cell>
          <cell r="J144" t="str">
            <v>Not Specified</v>
          </cell>
          <cell r="K144" t="str">
            <v>Alto Memo Cubes</v>
          </cell>
          <cell r="L144" t="str">
            <v>Office Supplies</v>
          </cell>
          <cell r="M144" t="str">
            <v>Wrap Bag</v>
          </cell>
          <cell r="N144" t="str">
            <v>Express Air</v>
          </cell>
          <cell r="O144">
            <v>41523</v>
          </cell>
          <cell r="P144">
            <v>3.32</v>
          </cell>
          <cell r="Q144">
            <v>5.18</v>
          </cell>
          <cell r="R144">
            <v>1.8599999999999999</v>
          </cell>
          <cell r="S144">
            <v>37</v>
          </cell>
          <cell r="T144">
            <v>191.66</v>
          </cell>
          <cell r="V144">
            <v>13.416200000000002</v>
          </cell>
          <cell r="W144">
            <v>178.24379999999999</v>
          </cell>
          <cell r="X144">
            <v>2.04</v>
          </cell>
          <cell r="Y144">
            <v>180.28379999999999</v>
          </cell>
        </row>
        <row r="145">
          <cell r="A145" t="str">
            <v>5235-1</v>
          </cell>
          <cell r="B145">
            <v>41521</v>
          </cell>
          <cell r="C145" t="str">
            <v>2013</v>
          </cell>
          <cell r="D145" t="str">
            <v>Max Ludwig</v>
          </cell>
          <cell r="E145" t="str">
            <v>6-8 O'Connell Street,Newtown</v>
          </cell>
          <cell r="F145" t="str">
            <v>Sydney</v>
          </cell>
          <cell r="G145" t="str">
            <v>NSW</v>
          </cell>
          <cell r="H145" t="str">
            <v>Corporate</v>
          </cell>
          <cell r="I145" t="str">
            <v>Nicholas Fernandes</v>
          </cell>
          <cell r="J145" t="str">
            <v>Low</v>
          </cell>
          <cell r="K145" t="str">
            <v>Artisan 48 Labels</v>
          </cell>
          <cell r="L145" t="str">
            <v>Office Supplies</v>
          </cell>
          <cell r="M145" t="str">
            <v>Small Box</v>
          </cell>
          <cell r="N145" t="str">
            <v>Regular Air</v>
          </cell>
          <cell r="O145">
            <v>41526</v>
          </cell>
          <cell r="P145">
            <v>3.84</v>
          </cell>
          <cell r="Q145">
            <v>6.3</v>
          </cell>
          <cell r="R145">
            <v>2.46</v>
          </cell>
          <cell r="S145">
            <v>39</v>
          </cell>
          <cell r="T145">
            <v>245.7</v>
          </cell>
          <cell r="V145">
            <v>24.57</v>
          </cell>
          <cell r="W145">
            <v>221.13</v>
          </cell>
          <cell r="X145">
            <v>0.5</v>
          </cell>
          <cell r="Y145">
            <v>221.63</v>
          </cell>
        </row>
        <row r="146">
          <cell r="A146" t="str">
            <v>5236-1</v>
          </cell>
          <cell r="B146">
            <v>41526</v>
          </cell>
          <cell r="C146" t="str">
            <v>2013</v>
          </cell>
          <cell r="D146" t="str">
            <v>Liz Price</v>
          </cell>
          <cell r="E146" t="str">
            <v>Sydney Fish Market, Bank Street, Sydney</v>
          </cell>
          <cell r="F146" t="str">
            <v>Sydney</v>
          </cell>
          <cell r="G146" t="str">
            <v>NSW</v>
          </cell>
          <cell r="H146" t="str">
            <v>Corporate</v>
          </cell>
          <cell r="I146" t="str">
            <v>Phoebe Gour</v>
          </cell>
          <cell r="J146" t="str">
            <v>Not Specified</v>
          </cell>
          <cell r="K146" t="str">
            <v>Artisan 481 Labels</v>
          </cell>
          <cell r="L146" t="str">
            <v>Office Supplies</v>
          </cell>
          <cell r="M146" t="str">
            <v>Small Box</v>
          </cell>
          <cell r="N146" t="str">
            <v>Regular Air</v>
          </cell>
          <cell r="O146">
            <v>41527</v>
          </cell>
          <cell r="P146">
            <v>1.94</v>
          </cell>
          <cell r="Q146">
            <v>3.08</v>
          </cell>
          <cell r="R146">
            <v>1.1400000000000001</v>
          </cell>
          <cell r="S146">
            <v>24</v>
          </cell>
          <cell r="T146">
            <v>73.92</v>
          </cell>
          <cell r="V146">
            <v>2.9568000000000003</v>
          </cell>
          <cell r="W146">
            <v>70.963200000000001</v>
          </cell>
          <cell r="X146">
            <v>0.99</v>
          </cell>
          <cell r="Y146">
            <v>71.953199999999995</v>
          </cell>
        </row>
        <row r="147">
          <cell r="A147" t="str">
            <v>5238-1</v>
          </cell>
          <cell r="B147">
            <v>41527</v>
          </cell>
          <cell r="C147" t="str">
            <v>2013</v>
          </cell>
          <cell r="D147" t="str">
            <v>Grant Thornton</v>
          </cell>
          <cell r="E147" t="str">
            <v>98 Holdsworth Street,Woollahra</v>
          </cell>
          <cell r="F147" t="str">
            <v>Sydney</v>
          </cell>
          <cell r="G147" t="str">
            <v>NSW</v>
          </cell>
          <cell r="H147" t="str">
            <v>Corporate</v>
          </cell>
          <cell r="I147" t="str">
            <v>Natasha Song</v>
          </cell>
          <cell r="J147" t="str">
            <v>Not Specified</v>
          </cell>
          <cell r="K147" t="str">
            <v>Artisan Hi-Liter Fluorescent Desk Style Markers</v>
          </cell>
          <cell r="L147" t="str">
            <v>Office Supplies</v>
          </cell>
          <cell r="M147" t="str">
            <v>Wrap Bag</v>
          </cell>
          <cell r="N147" t="str">
            <v>Regular Air</v>
          </cell>
          <cell r="O147">
            <v>41529</v>
          </cell>
          <cell r="P147">
            <v>1.76</v>
          </cell>
          <cell r="Q147">
            <v>3.38</v>
          </cell>
          <cell r="R147">
            <v>1.6199999999999999</v>
          </cell>
          <cell r="S147">
            <v>27</v>
          </cell>
          <cell r="T147">
            <v>91.259999999999991</v>
          </cell>
          <cell r="V147">
            <v>7.3007999999999997</v>
          </cell>
          <cell r="W147">
            <v>83.959199999999996</v>
          </cell>
          <cell r="X147">
            <v>0.85</v>
          </cell>
          <cell r="Y147">
            <v>84.80919999999999</v>
          </cell>
        </row>
        <row r="148">
          <cell r="A148" t="str">
            <v>5239-1</v>
          </cell>
          <cell r="B148">
            <v>41529</v>
          </cell>
          <cell r="C148" t="str">
            <v>2013</v>
          </cell>
          <cell r="D148" t="str">
            <v>Victoria Brennan</v>
          </cell>
          <cell r="E148" t="str">
            <v>Westfield 1 Anderson St,Chatswood</v>
          </cell>
          <cell r="F148" t="str">
            <v>Sydney</v>
          </cell>
          <cell r="G148" t="str">
            <v>NSW</v>
          </cell>
          <cell r="H148" t="str">
            <v>Small Business</v>
          </cell>
          <cell r="I148" t="str">
            <v>Nicholas Fernandes</v>
          </cell>
          <cell r="J148" t="str">
            <v>Critical</v>
          </cell>
          <cell r="K148" t="str">
            <v>Beekin 6 Outlet Metallic Surge Strip</v>
          </cell>
          <cell r="L148" t="str">
            <v>Office Supplies</v>
          </cell>
          <cell r="M148" t="str">
            <v>Small Box</v>
          </cell>
          <cell r="N148" t="str">
            <v>Regular Air</v>
          </cell>
          <cell r="O148">
            <v>41531</v>
          </cell>
          <cell r="P148">
            <v>4.46</v>
          </cell>
          <cell r="Q148">
            <v>10.89</v>
          </cell>
          <cell r="R148">
            <v>6.4300000000000006</v>
          </cell>
          <cell r="S148">
            <v>37</v>
          </cell>
          <cell r="T148">
            <v>402.93</v>
          </cell>
          <cell r="V148">
            <v>40.293000000000006</v>
          </cell>
          <cell r="W148">
            <v>362.637</v>
          </cell>
          <cell r="X148">
            <v>4.5</v>
          </cell>
          <cell r="Y148">
            <v>367.137</v>
          </cell>
        </row>
        <row r="149">
          <cell r="A149" t="str">
            <v>5240-1</v>
          </cell>
          <cell r="B149">
            <v>41529</v>
          </cell>
          <cell r="C149" t="str">
            <v>2013</v>
          </cell>
          <cell r="D149" t="str">
            <v>Sarah Brown</v>
          </cell>
          <cell r="E149" t="str">
            <v>10 O'Connell St,Sydney</v>
          </cell>
          <cell r="F149" t="str">
            <v>Sydney</v>
          </cell>
          <cell r="G149" t="str">
            <v>NSW</v>
          </cell>
          <cell r="H149" t="str">
            <v>Consumer</v>
          </cell>
          <cell r="I149" t="str">
            <v>Aanya Zhang</v>
          </cell>
          <cell r="J149" t="str">
            <v>Not Specified</v>
          </cell>
          <cell r="K149" t="str">
            <v>Security-Tint Envelopes</v>
          </cell>
          <cell r="L149" t="str">
            <v>Office Supplies</v>
          </cell>
          <cell r="M149" t="str">
            <v>Small Box</v>
          </cell>
          <cell r="N149" t="str">
            <v>Regular Air</v>
          </cell>
          <cell r="O149">
            <v>41532</v>
          </cell>
          <cell r="P149">
            <v>4.8899999999999997</v>
          </cell>
          <cell r="Q149">
            <v>7.64</v>
          </cell>
          <cell r="R149">
            <v>2.75</v>
          </cell>
          <cell r="S149">
            <v>44</v>
          </cell>
          <cell r="T149">
            <v>336.15999999999997</v>
          </cell>
          <cell r="V149">
            <v>3.3615999999999997</v>
          </cell>
          <cell r="W149">
            <v>332.79839999999996</v>
          </cell>
          <cell r="X149">
            <v>1.39</v>
          </cell>
          <cell r="Y149">
            <v>334.18839999999994</v>
          </cell>
        </row>
        <row r="150">
          <cell r="A150" t="str">
            <v>5241-1</v>
          </cell>
          <cell r="B150">
            <v>41529</v>
          </cell>
          <cell r="C150" t="str">
            <v>2013</v>
          </cell>
          <cell r="D150" t="str">
            <v>Michael Granlund</v>
          </cell>
          <cell r="E150" t="str">
            <v>359 Crown Street,Surry Hills</v>
          </cell>
          <cell r="F150" t="str">
            <v>Sydney</v>
          </cell>
          <cell r="G150" t="str">
            <v>NSW</v>
          </cell>
          <cell r="H150" t="str">
            <v>Corporate</v>
          </cell>
          <cell r="I150" t="str">
            <v>Phoebe Gour</v>
          </cell>
          <cell r="J150" t="str">
            <v>Medium</v>
          </cell>
          <cell r="K150" t="str">
            <v>TechSavi Cordless Navigator Duo</v>
          </cell>
          <cell r="L150" t="str">
            <v>Technology</v>
          </cell>
          <cell r="M150" t="str">
            <v>Small Box</v>
          </cell>
          <cell r="N150" t="str">
            <v>Regular Air</v>
          </cell>
          <cell r="O150">
            <v>41531</v>
          </cell>
          <cell r="P150">
            <v>42.11</v>
          </cell>
          <cell r="Q150">
            <v>80.98</v>
          </cell>
          <cell r="R150">
            <v>38.870000000000005</v>
          </cell>
          <cell r="S150">
            <v>34</v>
          </cell>
          <cell r="T150">
            <v>2753.32</v>
          </cell>
          <cell r="V150">
            <v>192.73240000000004</v>
          </cell>
          <cell r="W150">
            <v>2560.5876000000003</v>
          </cell>
          <cell r="X150">
            <v>7.18</v>
          </cell>
          <cell r="Y150">
            <v>2567.7676000000001</v>
          </cell>
        </row>
        <row r="151">
          <cell r="A151" t="str">
            <v>5242-1</v>
          </cell>
          <cell r="B151">
            <v>41531</v>
          </cell>
          <cell r="C151" t="str">
            <v>2013</v>
          </cell>
          <cell r="D151" t="str">
            <v>Jasper Cacioppo</v>
          </cell>
          <cell r="E151" t="str">
            <v>14 Knebworth Avenue</v>
          </cell>
          <cell r="F151" t="str">
            <v>Perth</v>
          </cell>
          <cell r="G151" t="str">
            <v>WA</v>
          </cell>
          <cell r="H151" t="str">
            <v>Home Office</v>
          </cell>
          <cell r="I151" t="str">
            <v>Radhya Staples</v>
          </cell>
          <cell r="J151" t="str">
            <v>Low</v>
          </cell>
          <cell r="K151" t="str">
            <v>Apex Preferred Stainless Steel Scissors</v>
          </cell>
          <cell r="L151" t="str">
            <v>Office Supplies</v>
          </cell>
          <cell r="M151" t="str">
            <v>Small Pack</v>
          </cell>
          <cell r="N151" t="str">
            <v>Express Air</v>
          </cell>
          <cell r="O151">
            <v>41535</v>
          </cell>
          <cell r="P151">
            <v>2.5</v>
          </cell>
          <cell r="Q151">
            <v>5.68</v>
          </cell>
          <cell r="R151">
            <v>3.1799999999999997</v>
          </cell>
          <cell r="S151">
            <v>46</v>
          </cell>
          <cell r="T151">
            <v>261.27999999999997</v>
          </cell>
          <cell r="V151">
            <v>26.128</v>
          </cell>
          <cell r="W151">
            <v>235.15199999999999</v>
          </cell>
          <cell r="X151">
            <v>3.6</v>
          </cell>
          <cell r="Y151">
            <v>238.75199999999998</v>
          </cell>
        </row>
        <row r="152">
          <cell r="A152" t="str">
            <v>5244-1</v>
          </cell>
          <cell r="B152">
            <v>41534</v>
          </cell>
          <cell r="C152" t="str">
            <v>2013</v>
          </cell>
          <cell r="D152" t="str">
            <v>Marina Lichtenstein</v>
          </cell>
          <cell r="E152" t="str">
            <v>188 Pitt Street,Sydney</v>
          </cell>
          <cell r="F152" t="str">
            <v>Sydney</v>
          </cell>
          <cell r="G152" t="str">
            <v>NSW</v>
          </cell>
          <cell r="H152" t="str">
            <v>Corporate</v>
          </cell>
          <cell r="I152" t="str">
            <v>Tina Carlton</v>
          </cell>
          <cell r="J152" t="str">
            <v>High</v>
          </cell>
          <cell r="K152" t="str">
            <v>Binder Posts</v>
          </cell>
          <cell r="L152" t="str">
            <v>Office Supplies</v>
          </cell>
          <cell r="M152" t="str">
            <v>Small Box</v>
          </cell>
          <cell r="N152" t="str">
            <v>Regular Air</v>
          </cell>
          <cell r="O152">
            <v>41536</v>
          </cell>
          <cell r="P152">
            <v>3.5</v>
          </cell>
          <cell r="Q152">
            <v>5.74</v>
          </cell>
          <cell r="R152">
            <v>2.2400000000000002</v>
          </cell>
          <cell r="S152">
            <v>3</v>
          </cell>
          <cell r="T152">
            <v>17.22</v>
          </cell>
          <cell r="V152">
            <v>1.3775999999999999</v>
          </cell>
          <cell r="W152">
            <v>15.8424</v>
          </cell>
          <cell r="X152">
            <v>5.01</v>
          </cell>
          <cell r="Y152">
            <v>20.852399999999999</v>
          </cell>
        </row>
        <row r="153">
          <cell r="A153" t="str">
            <v>5246-1</v>
          </cell>
          <cell r="B153">
            <v>41535</v>
          </cell>
          <cell r="C153" t="str">
            <v>2013</v>
          </cell>
          <cell r="D153" t="str">
            <v>Fred Wasserman</v>
          </cell>
          <cell r="E153" t="str">
            <v>61 York St,Sydney</v>
          </cell>
          <cell r="F153" t="str">
            <v>Sydney</v>
          </cell>
          <cell r="G153" t="str">
            <v>NSW</v>
          </cell>
          <cell r="H153" t="str">
            <v>Home Office</v>
          </cell>
          <cell r="I153" t="str">
            <v>Leighton Forrest</v>
          </cell>
          <cell r="J153" t="str">
            <v>Low</v>
          </cell>
          <cell r="K153" t="str">
            <v>Artisan Flip-Chart Easel Binder, Black</v>
          </cell>
          <cell r="L153" t="str">
            <v>Office Supplies</v>
          </cell>
          <cell r="M153" t="str">
            <v>Small Box</v>
          </cell>
          <cell r="N153" t="str">
            <v>Express Air</v>
          </cell>
          <cell r="O153">
            <v>41542</v>
          </cell>
          <cell r="P153">
            <v>13.88</v>
          </cell>
          <cell r="Q153">
            <v>22.38</v>
          </cell>
          <cell r="R153">
            <v>8.4999999999999982</v>
          </cell>
          <cell r="S153">
            <v>16</v>
          </cell>
          <cell r="T153">
            <v>358.08</v>
          </cell>
          <cell r="V153">
            <v>0</v>
          </cell>
          <cell r="W153">
            <v>358.08</v>
          </cell>
          <cell r="X153">
            <v>15.1</v>
          </cell>
          <cell r="Y153">
            <v>373.18</v>
          </cell>
        </row>
        <row r="154">
          <cell r="A154" t="str">
            <v>5247-1</v>
          </cell>
          <cell r="B154">
            <v>41537</v>
          </cell>
          <cell r="C154" t="str">
            <v>2013</v>
          </cell>
          <cell r="D154" t="str">
            <v>Ann Chong</v>
          </cell>
          <cell r="E154" t="str">
            <v>101 Murray Street, Perth</v>
          </cell>
          <cell r="F154" t="str">
            <v>Sydney</v>
          </cell>
          <cell r="G154" t="str">
            <v>NSW</v>
          </cell>
          <cell r="H154" t="str">
            <v>Corporate</v>
          </cell>
          <cell r="I154" t="str">
            <v>Preston Senome</v>
          </cell>
          <cell r="J154" t="str">
            <v>High</v>
          </cell>
          <cell r="K154" t="str">
            <v>Artisan Arch Ring Binders</v>
          </cell>
          <cell r="L154" t="str">
            <v>Office Supplies</v>
          </cell>
          <cell r="M154" t="str">
            <v>Small Box</v>
          </cell>
          <cell r="N154" t="str">
            <v>Regular Air</v>
          </cell>
          <cell r="O154">
            <v>41538</v>
          </cell>
          <cell r="P154">
            <v>36.020000000000003</v>
          </cell>
          <cell r="Q154">
            <v>58.1</v>
          </cell>
          <cell r="R154">
            <v>22.08</v>
          </cell>
          <cell r="S154">
            <v>7</v>
          </cell>
          <cell r="T154">
            <v>406.7</v>
          </cell>
          <cell r="V154">
            <v>40.67</v>
          </cell>
          <cell r="W154">
            <v>366.03</v>
          </cell>
          <cell r="X154">
            <v>1.49</v>
          </cell>
          <cell r="Y154">
            <v>367.52</v>
          </cell>
        </row>
        <row r="155">
          <cell r="A155" t="str">
            <v>5248-1</v>
          </cell>
          <cell r="B155">
            <v>41539</v>
          </cell>
          <cell r="C155" t="str">
            <v>2013</v>
          </cell>
          <cell r="D155" t="str">
            <v>Mick Crebagga</v>
          </cell>
          <cell r="E155" t="str">
            <v>53-55 Liverpool St,Sydney</v>
          </cell>
          <cell r="F155" t="str">
            <v>Sydney</v>
          </cell>
          <cell r="G155" t="str">
            <v>NSW</v>
          </cell>
          <cell r="H155" t="str">
            <v>Home Office</v>
          </cell>
          <cell r="I155" t="str">
            <v>Tina Carlton</v>
          </cell>
          <cell r="J155" t="str">
            <v>Critical</v>
          </cell>
          <cell r="K155" t="str">
            <v>Office Shears by Apex</v>
          </cell>
          <cell r="L155" t="str">
            <v>Office Supplies</v>
          </cell>
          <cell r="M155" t="str">
            <v>Small Pack</v>
          </cell>
          <cell r="N155" t="str">
            <v>Regular Air</v>
          </cell>
          <cell r="O155">
            <v>41541</v>
          </cell>
          <cell r="P155">
            <v>0.94</v>
          </cell>
          <cell r="Q155">
            <v>2.08</v>
          </cell>
          <cell r="R155">
            <v>1.1400000000000001</v>
          </cell>
          <cell r="S155">
            <v>43</v>
          </cell>
          <cell r="T155">
            <v>89.44</v>
          </cell>
          <cell r="V155">
            <v>4.4720000000000004</v>
          </cell>
          <cell r="W155">
            <v>84.968000000000004</v>
          </cell>
          <cell r="X155">
            <v>2.56</v>
          </cell>
          <cell r="Y155">
            <v>87.528000000000006</v>
          </cell>
        </row>
        <row r="156">
          <cell r="A156" t="str">
            <v>5250-1</v>
          </cell>
          <cell r="B156">
            <v>41540</v>
          </cell>
          <cell r="C156" t="str">
            <v>2013</v>
          </cell>
          <cell r="D156" t="str">
            <v>Chloris Kastensmidt</v>
          </cell>
          <cell r="E156" t="str">
            <v>7/370-374 Victoria Ave,Chatswood</v>
          </cell>
          <cell r="F156" t="str">
            <v>Sydney</v>
          </cell>
          <cell r="G156" t="str">
            <v>NSW</v>
          </cell>
          <cell r="H156" t="str">
            <v>Consumer</v>
          </cell>
          <cell r="I156" t="str">
            <v>Stevie Bacata</v>
          </cell>
          <cell r="J156" t="str">
            <v>Low</v>
          </cell>
          <cell r="K156" t="str">
            <v>210 Trimline Phone, White</v>
          </cell>
          <cell r="L156" t="str">
            <v>Technology</v>
          </cell>
          <cell r="M156" t="str">
            <v>Medium Box</v>
          </cell>
          <cell r="N156" t="str">
            <v>Regular Air</v>
          </cell>
          <cell r="O156">
            <v>41547</v>
          </cell>
          <cell r="P156">
            <v>9.91</v>
          </cell>
          <cell r="Q156">
            <v>15.99</v>
          </cell>
          <cell r="R156">
            <v>6.08</v>
          </cell>
          <cell r="S156">
            <v>27</v>
          </cell>
          <cell r="T156">
            <v>431.73</v>
          </cell>
          <cell r="V156">
            <v>4.3173000000000004</v>
          </cell>
          <cell r="W156">
            <v>427.41270000000003</v>
          </cell>
          <cell r="X156">
            <v>11.28</v>
          </cell>
          <cell r="Y156">
            <v>438.6927</v>
          </cell>
        </row>
        <row r="157">
          <cell r="A157" t="str">
            <v>5251-1</v>
          </cell>
          <cell r="B157">
            <v>41543</v>
          </cell>
          <cell r="C157" t="str">
            <v>2013</v>
          </cell>
          <cell r="D157" t="str">
            <v>Aleksandra Gannaway</v>
          </cell>
          <cell r="E157" t="str">
            <v>508/130 Mounts Bay Road, Perth</v>
          </cell>
          <cell r="F157" t="str">
            <v>Perth</v>
          </cell>
          <cell r="G157" t="str">
            <v>WA</v>
          </cell>
          <cell r="H157" t="str">
            <v>Home Office</v>
          </cell>
          <cell r="I157" t="str">
            <v>Tina Carlton</v>
          </cell>
          <cell r="J157" t="str">
            <v>Medium</v>
          </cell>
          <cell r="K157" t="str">
            <v>Alto Memo Cubes</v>
          </cell>
          <cell r="L157" t="str">
            <v>Office Supplies</v>
          </cell>
          <cell r="M157" t="str">
            <v>Wrap Bag</v>
          </cell>
          <cell r="N157" t="str">
            <v>Regular Air</v>
          </cell>
          <cell r="O157">
            <v>41545</v>
          </cell>
          <cell r="P157">
            <v>3.32</v>
          </cell>
          <cell r="Q157">
            <v>5.18</v>
          </cell>
          <cell r="R157">
            <v>1.8599999999999999</v>
          </cell>
          <cell r="S157">
            <v>23</v>
          </cell>
          <cell r="T157">
            <v>119.13999999999999</v>
          </cell>
          <cell r="V157">
            <v>5.9569999999999999</v>
          </cell>
          <cell r="W157">
            <v>113.18299999999999</v>
          </cell>
          <cell r="X157">
            <v>2.04</v>
          </cell>
          <cell r="Y157">
            <v>115.223</v>
          </cell>
        </row>
        <row r="158">
          <cell r="A158" t="str">
            <v>5253-1</v>
          </cell>
          <cell r="B158">
            <v>41543</v>
          </cell>
          <cell r="C158" t="str">
            <v>2013</v>
          </cell>
          <cell r="D158" t="str">
            <v>Maribeth Dona</v>
          </cell>
          <cell r="E158" t="str">
            <v>8 Rankins Lane ,Melbourne</v>
          </cell>
          <cell r="F158" t="str">
            <v>Melbourne</v>
          </cell>
          <cell r="G158" t="str">
            <v>VIC</v>
          </cell>
          <cell r="H158" t="str">
            <v>Home Office</v>
          </cell>
          <cell r="I158" t="str">
            <v>Connor Betts</v>
          </cell>
          <cell r="J158" t="str">
            <v>High</v>
          </cell>
          <cell r="K158" t="str">
            <v>Multi-Use Personal File Cart and Caster Set, Three Stacking Bins</v>
          </cell>
          <cell r="L158" t="str">
            <v>Office Supplies</v>
          </cell>
          <cell r="M158" t="str">
            <v>Small Box</v>
          </cell>
          <cell r="N158" t="str">
            <v>Regular Air</v>
          </cell>
          <cell r="O158">
            <v>41545</v>
          </cell>
          <cell r="P158">
            <v>14.95</v>
          </cell>
          <cell r="Q158">
            <v>34.76</v>
          </cell>
          <cell r="R158">
            <v>19.809999999999999</v>
          </cell>
          <cell r="S158">
            <v>15</v>
          </cell>
          <cell r="T158">
            <v>521.4</v>
          </cell>
          <cell r="V158">
            <v>46.925999999999995</v>
          </cell>
          <cell r="W158">
            <v>474.47399999999999</v>
          </cell>
          <cell r="X158">
            <v>8.2200000000000006</v>
          </cell>
          <cell r="Y158">
            <v>482.69400000000002</v>
          </cell>
        </row>
        <row r="159">
          <cell r="A159" t="str">
            <v>5254-1</v>
          </cell>
          <cell r="B159">
            <v>41544</v>
          </cell>
          <cell r="C159" t="str">
            <v>2013</v>
          </cell>
          <cell r="D159" t="str">
            <v>Michael Grace</v>
          </cell>
          <cell r="E159" t="str">
            <v>402 Argyle St,Moss Vale</v>
          </cell>
          <cell r="F159" t="str">
            <v>Sydney</v>
          </cell>
          <cell r="G159" t="str">
            <v>NSW</v>
          </cell>
          <cell r="H159" t="str">
            <v>Corporate</v>
          </cell>
          <cell r="I159" t="str">
            <v>Natasha Song</v>
          </cell>
          <cell r="J159" t="str">
            <v>Low</v>
          </cell>
          <cell r="K159" t="str">
            <v>Desktop 3-Pocket Hot File</v>
          </cell>
          <cell r="L159" t="str">
            <v>Office Supplies</v>
          </cell>
          <cell r="M159" t="str">
            <v>Small Box</v>
          </cell>
          <cell r="N159" t="str">
            <v>Regular Air</v>
          </cell>
          <cell r="O159">
            <v>41549</v>
          </cell>
          <cell r="P159">
            <v>22.18</v>
          </cell>
          <cell r="Q159">
            <v>54.1</v>
          </cell>
          <cell r="R159">
            <v>31.92</v>
          </cell>
          <cell r="S159">
            <v>19</v>
          </cell>
          <cell r="T159">
            <v>1027.9000000000001</v>
          </cell>
          <cell r="V159">
            <v>102.79000000000002</v>
          </cell>
          <cell r="W159">
            <v>925.11000000000013</v>
          </cell>
          <cell r="X159">
            <v>19.989999999999998</v>
          </cell>
          <cell r="Y159">
            <v>945.10000000000014</v>
          </cell>
        </row>
        <row r="160">
          <cell r="A160" t="str">
            <v>5256-1</v>
          </cell>
          <cell r="B160">
            <v>41547</v>
          </cell>
          <cell r="C160" t="str">
            <v>2013</v>
          </cell>
          <cell r="D160" t="str">
            <v>Cynthia Delaney</v>
          </cell>
          <cell r="E160" t="str">
            <v>1/160 Anzac Parade,Kensington</v>
          </cell>
          <cell r="F160" t="str">
            <v>Sydney</v>
          </cell>
          <cell r="G160" t="str">
            <v>NSW</v>
          </cell>
          <cell r="H160" t="str">
            <v>Corporate</v>
          </cell>
          <cell r="I160" t="str">
            <v>Natasha Song</v>
          </cell>
          <cell r="J160" t="str">
            <v>Not Specified</v>
          </cell>
          <cell r="K160" t="str">
            <v>Alto Memo Cubes</v>
          </cell>
          <cell r="L160" t="str">
            <v>Office Supplies</v>
          </cell>
          <cell r="M160" t="str">
            <v>Wrap Bag</v>
          </cell>
          <cell r="N160" t="str">
            <v>Regular Air</v>
          </cell>
          <cell r="O160">
            <v>41549</v>
          </cell>
          <cell r="P160">
            <v>3.32</v>
          </cell>
          <cell r="Q160">
            <v>5.18</v>
          </cell>
          <cell r="R160">
            <v>1.8599999999999999</v>
          </cell>
          <cell r="S160">
            <v>10</v>
          </cell>
          <cell r="T160">
            <v>51.8</v>
          </cell>
          <cell r="V160">
            <v>0.51800000000000002</v>
          </cell>
          <cell r="W160">
            <v>51.281999999999996</v>
          </cell>
          <cell r="X160">
            <v>2.04</v>
          </cell>
          <cell r="Y160">
            <v>53.321999999999996</v>
          </cell>
        </row>
        <row r="161">
          <cell r="A161" t="str">
            <v>5257-1</v>
          </cell>
          <cell r="B161">
            <v>41548</v>
          </cell>
          <cell r="C161" t="str">
            <v>2013</v>
          </cell>
          <cell r="D161" t="str">
            <v>John Dryer</v>
          </cell>
          <cell r="E161" t="str">
            <v>8 Rankins Lane ,Melbourne</v>
          </cell>
          <cell r="F161" t="str">
            <v>Melbourne</v>
          </cell>
          <cell r="G161" t="str">
            <v>VIC</v>
          </cell>
          <cell r="H161" t="str">
            <v>Corporate</v>
          </cell>
          <cell r="I161" t="str">
            <v>Connor Betts</v>
          </cell>
          <cell r="J161" t="str">
            <v>Medium</v>
          </cell>
          <cell r="K161" t="str">
            <v>Laser DVD-RAM discs</v>
          </cell>
          <cell r="L161" t="str">
            <v>Technology</v>
          </cell>
          <cell r="M161" t="str">
            <v>Small Pack</v>
          </cell>
          <cell r="N161" t="str">
            <v>Express Air</v>
          </cell>
          <cell r="O161">
            <v>41549</v>
          </cell>
          <cell r="P161">
            <v>20.18</v>
          </cell>
          <cell r="Q161">
            <v>35.409999999999997</v>
          </cell>
          <cell r="R161">
            <v>15.229999999999997</v>
          </cell>
          <cell r="S161">
            <v>16</v>
          </cell>
          <cell r="T161">
            <v>566.55999999999995</v>
          </cell>
          <cell r="V161">
            <v>0</v>
          </cell>
          <cell r="W161">
            <v>566.55999999999995</v>
          </cell>
          <cell r="X161">
            <v>1.99</v>
          </cell>
          <cell r="Y161">
            <v>568.54999999999995</v>
          </cell>
        </row>
        <row r="162">
          <cell r="A162" t="str">
            <v>5259-1</v>
          </cell>
          <cell r="B162">
            <v>41550</v>
          </cell>
          <cell r="C162" t="str">
            <v>2013</v>
          </cell>
          <cell r="D162" t="str">
            <v>Eric Barreto</v>
          </cell>
          <cell r="E162" t="str">
            <v>14 Money Street</v>
          </cell>
          <cell r="F162" t="str">
            <v>Perth</v>
          </cell>
          <cell r="G162" t="str">
            <v>WA</v>
          </cell>
          <cell r="H162" t="str">
            <v>Consumer</v>
          </cell>
          <cell r="I162" t="str">
            <v>Phoebe Gour</v>
          </cell>
          <cell r="J162" t="str">
            <v>High</v>
          </cell>
          <cell r="K162" t="str">
            <v>DrawIt Colored Pencils, 48-Color Set</v>
          </cell>
          <cell r="L162" t="str">
            <v>Office Supplies</v>
          </cell>
          <cell r="M162" t="str">
            <v>Wrap Bag</v>
          </cell>
          <cell r="N162" t="str">
            <v>Express Air</v>
          </cell>
          <cell r="O162">
            <v>41551</v>
          </cell>
          <cell r="P162">
            <v>21.56</v>
          </cell>
          <cell r="Q162">
            <v>36.549999999999997</v>
          </cell>
          <cell r="R162">
            <v>14.989999999999998</v>
          </cell>
          <cell r="S162">
            <v>46</v>
          </cell>
          <cell r="T162">
            <v>1681.3</v>
          </cell>
          <cell r="V162">
            <v>84.064999999999998</v>
          </cell>
          <cell r="W162">
            <v>1597.2349999999999</v>
          </cell>
          <cell r="X162">
            <v>13.89</v>
          </cell>
          <cell r="Y162">
            <v>1611.125</v>
          </cell>
        </row>
        <row r="163">
          <cell r="A163" t="str">
            <v>5260-1</v>
          </cell>
          <cell r="B163">
            <v>41551</v>
          </cell>
          <cell r="C163" t="str">
            <v>2013</v>
          </cell>
          <cell r="D163" t="str">
            <v>Carlos Daly</v>
          </cell>
          <cell r="E163" t="str">
            <v>5/63-71 Enmore Rd,Newtown</v>
          </cell>
          <cell r="F163" t="str">
            <v>Sydney</v>
          </cell>
          <cell r="G163" t="str">
            <v>NSW</v>
          </cell>
          <cell r="H163" t="str">
            <v>Corporate</v>
          </cell>
          <cell r="I163" t="str">
            <v>Charlie Bui</v>
          </cell>
          <cell r="J163" t="str">
            <v>High</v>
          </cell>
          <cell r="K163" t="str">
            <v>Deluxe Rollaway Locking File with Drawer</v>
          </cell>
          <cell r="L163" t="str">
            <v>Office Supplies</v>
          </cell>
          <cell r="M163" t="str">
            <v>Small Box</v>
          </cell>
          <cell r="N163" t="str">
            <v>Regular Air</v>
          </cell>
          <cell r="O163">
            <v>41552</v>
          </cell>
          <cell r="P163">
            <v>178.83</v>
          </cell>
          <cell r="Q163">
            <v>415.88</v>
          </cell>
          <cell r="R163">
            <v>237.04999999999998</v>
          </cell>
          <cell r="S163">
            <v>2</v>
          </cell>
          <cell r="T163">
            <v>831.76</v>
          </cell>
          <cell r="V163">
            <v>66.540800000000004</v>
          </cell>
          <cell r="W163">
            <v>765.2192</v>
          </cell>
          <cell r="X163">
            <v>11.37</v>
          </cell>
          <cell r="Y163">
            <v>776.58920000000001</v>
          </cell>
        </row>
        <row r="164">
          <cell r="A164" t="str">
            <v>5261-1</v>
          </cell>
          <cell r="B164">
            <v>41552</v>
          </cell>
          <cell r="C164" t="str">
            <v>2013</v>
          </cell>
          <cell r="D164" t="str">
            <v>Joni Wasserman</v>
          </cell>
          <cell r="E164" t="str">
            <v>Westfield Sydney,Sydney</v>
          </cell>
          <cell r="F164" t="str">
            <v>Sydney</v>
          </cell>
          <cell r="G164" t="str">
            <v>NSW</v>
          </cell>
          <cell r="H164" t="str">
            <v>Consumer</v>
          </cell>
          <cell r="I164" t="str">
            <v>Natasha Song</v>
          </cell>
          <cell r="J164" t="str">
            <v>Low</v>
          </cell>
          <cell r="K164" t="str">
            <v>600 Series Flip</v>
          </cell>
          <cell r="L164" t="str">
            <v>Technology</v>
          </cell>
          <cell r="M164" t="str">
            <v>Small Box</v>
          </cell>
          <cell r="N164" t="str">
            <v>Regular Air</v>
          </cell>
          <cell r="O164">
            <v>41559</v>
          </cell>
          <cell r="P164">
            <v>41.28</v>
          </cell>
          <cell r="Q164">
            <v>95.99</v>
          </cell>
          <cell r="R164">
            <v>54.709999999999994</v>
          </cell>
          <cell r="S164">
            <v>17</v>
          </cell>
          <cell r="T164">
            <v>1631.83</v>
          </cell>
          <cell r="V164">
            <v>146.8647</v>
          </cell>
          <cell r="W164">
            <v>1484.9652999999998</v>
          </cell>
          <cell r="X164">
            <v>8.99</v>
          </cell>
          <cell r="Y164">
            <v>1493.9552999999999</v>
          </cell>
        </row>
        <row r="165">
          <cell r="A165" t="str">
            <v>5263-1</v>
          </cell>
          <cell r="B165">
            <v>41552</v>
          </cell>
          <cell r="C165" t="str">
            <v>2013</v>
          </cell>
          <cell r="D165" t="str">
            <v>Neil Knudson</v>
          </cell>
          <cell r="E165" t="str">
            <v>4A Lyons St,Strathfield</v>
          </cell>
          <cell r="F165" t="str">
            <v>Sydney</v>
          </cell>
          <cell r="G165" t="str">
            <v>NSW</v>
          </cell>
          <cell r="H165" t="str">
            <v>Corporate</v>
          </cell>
          <cell r="I165" t="str">
            <v>Tina Carlton</v>
          </cell>
          <cell r="J165" t="str">
            <v>Medium</v>
          </cell>
          <cell r="K165" t="str">
            <v>Economy Binders</v>
          </cell>
          <cell r="L165" t="str">
            <v>Office Supplies</v>
          </cell>
          <cell r="M165" t="str">
            <v>Small Box</v>
          </cell>
          <cell r="N165" t="str">
            <v>Regular Air</v>
          </cell>
          <cell r="O165">
            <v>41554</v>
          </cell>
          <cell r="P165">
            <v>1.33</v>
          </cell>
          <cell r="Q165">
            <v>2.08</v>
          </cell>
          <cell r="R165">
            <v>0.75</v>
          </cell>
          <cell r="S165">
            <v>16</v>
          </cell>
          <cell r="T165">
            <v>33.28</v>
          </cell>
          <cell r="V165">
            <v>1.3312000000000002</v>
          </cell>
          <cell r="W165">
            <v>31.948800000000002</v>
          </cell>
          <cell r="X165">
            <v>1.49</v>
          </cell>
          <cell r="Y165">
            <v>33.438800000000001</v>
          </cell>
        </row>
        <row r="166">
          <cell r="A166" t="str">
            <v>5265-1</v>
          </cell>
          <cell r="B166">
            <v>41553</v>
          </cell>
          <cell r="C166" t="str">
            <v>2013</v>
          </cell>
          <cell r="D166" t="str">
            <v>Roy Skaria</v>
          </cell>
          <cell r="E166" t="str">
            <v>2/797 Botany Rd,Rosebery</v>
          </cell>
          <cell r="F166" t="str">
            <v>Sydney</v>
          </cell>
          <cell r="G166" t="str">
            <v>NSW</v>
          </cell>
          <cell r="H166" t="str">
            <v>Corporate</v>
          </cell>
          <cell r="I166" t="str">
            <v>Samantha Chairs</v>
          </cell>
          <cell r="J166" t="str">
            <v>Medium</v>
          </cell>
          <cell r="K166" t="str">
            <v>1726 Digital Answering Machine</v>
          </cell>
          <cell r="L166" t="str">
            <v>Technology</v>
          </cell>
          <cell r="M166" t="str">
            <v>Medium Box</v>
          </cell>
          <cell r="N166" t="str">
            <v>Regular Air</v>
          </cell>
          <cell r="O166">
            <v>41554</v>
          </cell>
          <cell r="P166">
            <v>8.82</v>
          </cell>
          <cell r="Q166">
            <v>20.99</v>
          </cell>
          <cell r="R166">
            <v>12.169999999999998</v>
          </cell>
          <cell r="S166">
            <v>25</v>
          </cell>
          <cell r="T166">
            <v>524.75</v>
          </cell>
          <cell r="V166">
            <v>26.237500000000001</v>
          </cell>
          <cell r="W166">
            <v>498.51249999999999</v>
          </cell>
          <cell r="X166">
            <v>4.8099999999999996</v>
          </cell>
          <cell r="Y166">
            <v>503.32249999999999</v>
          </cell>
        </row>
        <row r="167">
          <cell r="A167" t="str">
            <v>5267-1</v>
          </cell>
          <cell r="B167">
            <v>41556</v>
          </cell>
          <cell r="C167" t="str">
            <v>2013</v>
          </cell>
          <cell r="D167" t="str">
            <v>Frank Merwin</v>
          </cell>
          <cell r="E167" t="str">
            <v>24 Addison Rd,Marrickville</v>
          </cell>
          <cell r="F167" t="str">
            <v>Sydney</v>
          </cell>
          <cell r="G167" t="str">
            <v>NSW</v>
          </cell>
          <cell r="H167" t="str">
            <v>Corporate</v>
          </cell>
          <cell r="I167" t="str">
            <v>Radhya Staples</v>
          </cell>
          <cell r="J167" t="str">
            <v>Medium</v>
          </cell>
          <cell r="K167" t="str">
            <v>Pizazz Drawing Pencil Set</v>
          </cell>
          <cell r="L167" t="str">
            <v>Office Supplies</v>
          </cell>
          <cell r="M167" t="str">
            <v>Wrap Bag</v>
          </cell>
          <cell r="N167" t="str">
            <v>Regular Air</v>
          </cell>
          <cell r="O167">
            <v>41558</v>
          </cell>
          <cell r="P167">
            <v>1.53</v>
          </cell>
          <cell r="Q167">
            <v>2.78</v>
          </cell>
          <cell r="R167">
            <v>1.2499999999999998</v>
          </cell>
          <cell r="S167">
            <v>6</v>
          </cell>
          <cell r="T167">
            <v>16.68</v>
          </cell>
          <cell r="V167">
            <v>0.1668</v>
          </cell>
          <cell r="W167">
            <v>16.513200000000001</v>
          </cell>
          <cell r="X167">
            <v>1.34</v>
          </cell>
          <cell r="Y167">
            <v>17.853200000000001</v>
          </cell>
        </row>
        <row r="168">
          <cell r="A168" t="str">
            <v>5268-1</v>
          </cell>
          <cell r="B168">
            <v>41558</v>
          </cell>
          <cell r="C168" t="str">
            <v>2013</v>
          </cell>
          <cell r="D168" t="str">
            <v>Stephanie Ulpright</v>
          </cell>
          <cell r="E168" t="str">
            <v>541 Church St ,Richmond</v>
          </cell>
          <cell r="F168" t="str">
            <v>Melbourne</v>
          </cell>
          <cell r="G168" t="str">
            <v>VIC</v>
          </cell>
          <cell r="H168" t="str">
            <v>Consumer</v>
          </cell>
          <cell r="I168" t="str">
            <v>Yvette Biti</v>
          </cell>
          <cell r="J168" t="str">
            <v>Not Specified</v>
          </cell>
          <cell r="K168" t="str">
            <v>Artisan Binder Labels</v>
          </cell>
          <cell r="L168" t="str">
            <v>Office Supplies</v>
          </cell>
          <cell r="M168" t="str">
            <v>Small Box</v>
          </cell>
          <cell r="N168" t="str">
            <v>Regular Air</v>
          </cell>
          <cell r="O168">
            <v>41560</v>
          </cell>
          <cell r="P168">
            <v>2.4500000000000002</v>
          </cell>
          <cell r="Q168">
            <v>3.89</v>
          </cell>
          <cell r="R168">
            <v>1.44</v>
          </cell>
          <cell r="S168">
            <v>2</v>
          </cell>
          <cell r="T168">
            <v>7.78</v>
          </cell>
          <cell r="V168">
            <v>0.54460000000000008</v>
          </cell>
          <cell r="W168">
            <v>7.2354000000000003</v>
          </cell>
          <cell r="X168">
            <v>7.01</v>
          </cell>
          <cell r="Y168">
            <v>14.2454</v>
          </cell>
        </row>
        <row r="169">
          <cell r="A169" t="str">
            <v>5268-2</v>
          </cell>
          <cell r="B169">
            <v>41558</v>
          </cell>
          <cell r="C169" t="str">
            <v>2013</v>
          </cell>
          <cell r="D169" t="str">
            <v>Stephanie Ulpright</v>
          </cell>
          <cell r="E169" t="str">
            <v>541 Church St ,Richmond</v>
          </cell>
          <cell r="F169" t="str">
            <v>Melbourne</v>
          </cell>
          <cell r="G169" t="str">
            <v>VIC</v>
          </cell>
          <cell r="H169" t="str">
            <v>Consumer</v>
          </cell>
          <cell r="I169" t="str">
            <v>Yvette Biti</v>
          </cell>
          <cell r="J169" t="str">
            <v>Not Specified</v>
          </cell>
          <cell r="K169" t="str">
            <v>Economy Rollaway Files</v>
          </cell>
          <cell r="L169" t="str">
            <v>Office Supplies</v>
          </cell>
          <cell r="M169" t="str">
            <v>Small Box</v>
          </cell>
          <cell r="N169" t="str">
            <v>Regular Air</v>
          </cell>
          <cell r="O169">
            <v>41559</v>
          </cell>
          <cell r="P169">
            <v>67.73</v>
          </cell>
          <cell r="Q169">
            <v>165.2</v>
          </cell>
          <cell r="R169">
            <v>97.469999999999985</v>
          </cell>
          <cell r="S169">
            <v>6</v>
          </cell>
          <cell r="T169">
            <v>991.19999999999993</v>
          </cell>
          <cell r="V169">
            <v>89.207999999999984</v>
          </cell>
          <cell r="W169">
            <v>901.99199999999996</v>
          </cell>
          <cell r="X169">
            <v>19.989999999999998</v>
          </cell>
          <cell r="Y169">
            <v>921.98199999999997</v>
          </cell>
        </row>
        <row r="170">
          <cell r="A170" t="str">
            <v>5272-1</v>
          </cell>
          <cell r="B170">
            <v>41558</v>
          </cell>
          <cell r="C170" t="str">
            <v>2013</v>
          </cell>
          <cell r="D170" t="str">
            <v>Amy Cox</v>
          </cell>
          <cell r="E170" t="str">
            <v>15 Aberdeen Street, Perth</v>
          </cell>
          <cell r="F170" t="str">
            <v>Sydney</v>
          </cell>
          <cell r="G170" t="str">
            <v>NSW</v>
          </cell>
          <cell r="H170" t="str">
            <v>Small Business</v>
          </cell>
          <cell r="I170" t="str">
            <v>Aanya Zhang</v>
          </cell>
          <cell r="J170" t="str">
            <v>Critical</v>
          </cell>
          <cell r="K170" t="str">
            <v>Pizazz Dustless Chalk Sticks</v>
          </cell>
          <cell r="L170" t="str">
            <v>Office Supplies</v>
          </cell>
          <cell r="M170" t="str">
            <v>Wrap Bag</v>
          </cell>
          <cell r="N170" t="str">
            <v>Regular Air</v>
          </cell>
          <cell r="O170">
            <v>41559</v>
          </cell>
          <cell r="P170">
            <v>1.0900000000000001</v>
          </cell>
          <cell r="Q170">
            <v>1.68</v>
          </cell>
          <cell r="R170">
            <v>0.58999999999999986</v>
          </cell>
          <cell r="S170">
            <v>38</v>
          </cell>
          <cell r="T170">
            <v>63.839999999999996</v>
          </cell>
          <cell r="V170">
            <v>4.4687999999999999</v>
          </cell>
          <cell r="W170">
            <v>59.371199999999995</v>
          </cell>
          <cell r="X170">
            <v>1</v>
          </cell>
          <cell r="Y170">
            <v>60.371199999999995</v>
          </cell>
        </row>
        <row r="171">
          <cell r="A171" t="str">
            <v>5274-1</v>
          </cell>
          <cell r="B171">
            <v>41560</v>
          </cell>
          <cell r="C171" t="str">
            <v>2013</v>
          </cell>
          <cell r="D171" t="str">
            <v>Sylvia Foulston</v>
          </cell>
          <cell r="E171" t="str">
            <v>101 Murray Street</v>
          </cell>
          <cell r="F171" t="str">
            <v>Perth</v>
          </cell>
          <cell r="G171" t="str">
            <v>WA</v>
          </cell>
          <cell r="H171" t="str">
            <v>Corporate</v>
          </cell>
          <cell r="I171" t="str">
            <v>Tina Carlton</v>
          </cell>
          <cell r="J171" t="str">
            <v>Critical</v>
          </cell>
          <cell r="K171" t="str">
            <v>300 Series Non-Flip</v>
          </cell>
          <cell r="L171" t="str">
            <v>Technology</v>
          </cell>
          <cell r="M171" t="str">
            <v>Small Box</v>
          </cell>
          <cell r="N171" t="str">
            <v>Regular Air</v>
          </cell>
          <cell r="O171">
            <v>41561</v>
          </cell>
          <cell r="P171">
            <v>62.4</v>
          </cell>
          <cell r="Q171">
            <v>155.99</v>
          </cell>
          <cell r="R171">
            <v>93.59</v>
          </cell>
          <cell r="S171">
            <v>48</v>
          </cell>
          <cell r="T171">
            <v>7487.52</v>
          </cell>
          <cell r="V171">
            <v>299.50080000000003</v>
          </cell>
          <cell r="W171">
            <v>7188.0192000000006</v>
          </cell>
          <cell r="X171">
            <v>8.08</v>
          </cell>
          <cell r="Y171">
            <v>7196.0992000000006</v>
          </cell>
        </row>
        <row r="172">
          <cell r="A172" t="str">
            <v>5274-2</v>
          </cell>
          <cell r="B172">
            <v>41560</v>
          </cell>
          <cell r="C172" t="str">
            <v>2013</v>
          </cell>
          <cell r="D172" t="str">
            <v>Sylvia Foulston</v>
          </cell>
          <cell r="E172" t="str">
            <v>101 Murray Street</v>
          </cell>
          <cell r="F172" t="str">
            <v>Perth</v>
          </cell>
          <cell r="G172" t="str">
            <v>WA</v>
          </cell>
          <cell r="H172" t="str">
            <v>Corporate</v>
          </cell>
          <cell r="I172" t="str">
            <v>Tina Carlton</v>
          </cell>
          <cell r="J172" t="str">
            <v>Critical</v>
          </cell>
          <cell r="K172" t="str">
            <v>3Max Organizer Strips</v>
          </cell>
          <cell r="L172" t="str">
            <v>Office Supplies</v>
          </cell>
          <cell r="M172" t="str">
            <v>Small Box</v>
          </cell>
          <cell r="N172" t="str">
            <v>Regular Air</v>
          </cell>
          <cell r="O172">
            <v>41560</v>
          </cell>
          <cell r="P172">
            <v>3.4</v>
          </cell>
          <cell r="Q172">
            <v>5.4</v>
          </cell>
          <cell r="R172">
            <v>2.0000000000000004</v>
          </cell>
          <cell r="S172">
            <v>8</v>
          </cell>
          <cell r="T172">
            <v>43.2</v>
          </cell>
          <cell r="V172">
            <v>3.4560000000000004</v>
          </cell>
          <cell r="W172">
            <v>39.744</v>
          </cell>
          <cell r="X172">
            <v>7.78</v>
          </cell>
          <cell r="Y172">
            <v>47.524000000000001</v>
          </cell>
        </row>
        <row r="173">
          <cell r="A173" t="str">
            <v>5277-1</v>
          </cell>
          <cell r="B173">
            <v>41567</v>
          </cell>
          <cell r="C173" t="str">
            <v>2013</v>
          </cell>
          <cell r="D173" t="str">
            <v>Paul MacIntyre</v>
          </cell>
          <cell r="E173" t="str">
            <v>60 Commercial Rd,Prahran</v>
          </cell>
          <cell r="F173" t="str">
            <v>Melbourne</v>
          </cell>
          <cell r="G173" t="str">
            <v>VIC</v>
          </cell>
          <cell r="H173" t="str">
            <v>Corporate</v>
          </cell>
          <cell r="I173" t="str">
            <v>Yvette Biti</v>
          </cell>
          <cell r="J173" t="str">
            <v>Critical</v>
          </cell>
          <cell r="K173" t="str">
            <v>12 Colored Short Pencils</v>
          </cell>
          <cell r="L173" t="str">
            <v>Office Supplies</v>
          </cell>
          <cell r="M173" t="str">
            <v>Wrap Bag</v>
          </cell>
          <cell r="N173" t="str">
            <v>Regular Air</v>
          </cell>
          <cell r="O173">
            <v>41569</v>
          </cell>
          <cell r="P173">
            <v>1.0900000000000001</v>
          </cell>
          <cell r="Q173">
            <v>2.6</v>
          </cell>
          <cell r="R173">
            <v>1.51</v>
          </cell>
          <cell r="S173">
            <v>36</v>
          </cell>
          <cell r="T173">
            <v>93.600000000000009</v>
          </cell>
          <cell r="V173">
            <v>0</v>
          </cell>
          <cell r="W173">
            <v>93.600000000000009</v>
          </cell>
          <cell r="X173">
            <v>2.4</v>
          </cell>
          <cell r="Y173">
            <v>96.000000000000014</v>
          </cell>
        </row>
        <row r="174">
          <cell r="A174" t="str">
            <v>5278-1</v>
          </cell>
          <cell r="B174">
            <v>41567</v>
          </cell>
          <cell r="C174" t="str">
            <v>2013</v>
          </cell>
          <cell r="D174" t="str">
            <v>Cindy Stewart</v>
          </cell>
          <cell r="E174" t="str">
            <v>1/173-179 Bronte Rd,Waverley</v>
          </cell>
          <cell r="F174" t="str">
            <v>Sydney</v>
          </cell>
          <cell r="G174" t="str">
            <v>NSW</v>
          </cell>
          <cell r="H174" t="str">
            <v>Corporate</v>
          </cell>
          <cell r="I174" t="str">
            <v>Leighton Forrest</v>
          </cell>
          <cell r="J174" t="str">
            <v>Critical</v>
          </cell>
          <cell r="K174" t="str">
            <v>Artisan 479 Labels</v>
          </cell>
          <cell r="L174" t="str">
            <v>Office Supplies</v>
          </cell>
          <cell r="M174" t="str">
            <v>Small Box</v>
          </cell>
          <cell r="N174" t="str">
            <v>Express Air</v>
          </cell>
          <cell r="O174">
            <v>41567</v>
          </cell>
          <cell r="P174">
            <v>1.59</v>
          </cell>
          <cell r="Q174">
            <v>2.61</v>
          </cell>
          <cell r="R174">
            <v>1.0199999999999998</v>
          </cell>
          <cell r="S174">
            <v>1</v>
          </cell>
          <cell r="T174">
            <v>2.61</v>
          </cell>
          <cell r="V174">
            <v>0.15659999999999999</v>
          </cell>
          <cell r="W174">
            <v>2.4533999999999998</v>
          </cell>
          <cell r="X174">
            <v>0.5</v>
          </cell>
          <cell r="Y174">
            <v>2.9533999999999998</v>
          </cell>
        </row>
        <row r="175">
          <cell r="A175" t="str">
            <v>5279-1</v>
          </cell>
          <cell r="B175">
            <v>41567</v>
          </cell>
          <cell r="C175" t="str">
            <v>2013</v>
          </cell>
          <cell r="D175" t="str">
            <v>Tamara Willingham</v>
          </cell>
          <cell r="E175" t="str">
            <v>Sydney Fish Market, Bank Street, Sydney</v>
          </cell>
          <cell r="F175" t="str">
            <v>Sydney</v>
          </cell>
          <cell r="G175" t="str">
            <v>NSW</v>
          </cell>
          <cell r="H175" t="str">
            <v>Corporate</v>
          </cell>
          <cell r="I175" t="str">
            <v>Phoebe Gour</v>
          </cell>
          <cell r="J175" t="str">
            <v>Medium</v>
          </cell>
          <cell r="K175" t="str">
            <v>Artisan Hanging File Binders</v>
          </cell>
          <cell r="L175" t="str">
            <v>Office Supplies</v>
          </cell>
          <cell r="M175" t="str">
            <v>Small Box</v>
          </cell>
          <cell r="N175" t="str">
            <v>Regular Air</v>
          </cell>
          <cell r="O175">
            <v>41568</v>
          </cell>
          <cell r="P175">
            <v>3.65</v>
          </cell>
          <cell r="Q175">
            <v>5.98</v>
          </cell>
          <cell r="R175">
            <v>2.3300000000000005</v>
          </cell>
          <cell r="S175">
            <v>21</v>
          </cell>
          <cell r="T175">
            <v>125.58000000000001</v>
          </cell>
          <cell r="V175">
            <v>2.5116000000000005</v>
          </cell>
          <cell r="W175">
            <v>123.06840000000001</v>
          </cell>
          <cell r="X175">
            <v>1.49</v>
          </cell>
          <cell r="Y175">
            <v>124.55840000000001</v>
          </cell>
        </row>
        <row r="176">
          <cell r="A176" t="str">
            <v>5280-1</v>
          </cell>
          <cell r="B176">
            <v>41568</v>
          </cell>
          <cell r="C176" t="str">
            <v>2013</v>
          </cell>
          <cell r="D176" t="str">
            <v>Darrin Sayre</v>
          </cell>
          <cell r="E176" t="str">
            <v>Sydney Fish Market, Bank Street, Sydney</v>
          </cell>
          <cell r="F176" t="str">
            <v>Sydney</v>
          </cell>
          <cell r="G176" t="str">
            <v>NSW</v>
          </cell>
          <cell r="H176" t="str">
            <v>Consumer</v>
          </cell>
          <cell r="I176" t="str">
            <v>Phoebe Gour</v>
          </cell>
          <cell r="J176" t="str">
            <v>Not Specified</v>
          </cell>
          <cell r="K176" t="str">
            <v>Artisan Hanging File Binders</v>
          </cell>
          <cell r="L176" t="str">
            <v>Office Supplies</v>
          </cell>
          <cell r="M176" t="str">
            <v>Small Box</v>
          </cell>
          <cell r="N176" t="str">
            <v>Regular Air</v>
          </cell>
          <cell r="O176">
            <v>41570</v>
          </cell>
          <cell r="P176">
            <v>3.65</v>
          </cell>
          <cell r="Q176">
            <v>5.98</v>
          </cell>
          <cell r="R176">
            <v>2.3300000000000005</v>
          </cell>
          <cell r="S176">
            <v>40</v>
          </cell>
          <cell r="T176">
            <v>239.20000000000002</v>
          </cell>
          <cell r="V176">
            <v>0</v>
          </cell>
          <cell r="W176">
            <v>239.20000000000002</v>
          </cell>
          <cell r="X176">
            <v>1.49</v>
          </cell>
          <cell r="Y176">
            <v>240.69000000000003</v>
          </cell>
        </row>
        <row r="177">
          <cell r="A177" t="str">
            <v>5282-1</v>
          </cell>
          <cell r="B177">
            <v>41568</v>
          </cell>
          <cell r="C177" t="str">
            <v>2013</v>
          </cell>
          <cell r="D177" t="str">
            <v>Amy Cox</v>
          </cell>
          <cell r="E177" t="str">
            <v>101/12 Victoria Ave, Perth</v>
          </cell>
          <cell r="F177" t="str">
            <v>Sydney</v>
          </cell>
          <cell r="G177" t="str">
            <v>NSW</v>
          </cell>
          <cell r="H177" t="str">
            <v>Small Business</v>
          </cell>
          <cell r="I177" t="str">
            <v>Aanya Zhang</v>
          </cell>
          <cell r="J177" t="str">
            <v>Not Specified</v>
          </cell>
          <cell r="K177" t="str">
            <v>Smiths General Use 3-Ring Binders</v>
          </cell>
          <cell r="L177" t="str">
            <v>Office Supplies</v>
          </cell>
          <cell r="M177" t="str">
            <v>Small Box</v>
          </cell>
          <cell r="N177" t="str">
            <v>Regular Air</v>
          </cell>
          <cell r="O177">
            <v>41570</v>
          </cell>
          <cell r="P177">
            <v>1.18</v>
          </cell>
          <cell r="Q177">
            <v>1.88</v>
          </cell>
          <cell r="R177">
            <v>0.7</v>
          </cell>
          <cell r="S177">
            <v>33</v>
          </cell>
          <cell r="T177">
            <v>62.04</v>
          </cell>
          <cell r="V177">
            <v>4.3428000000000004</v>
          </cell>
          <cell r="W177">
            <v>57.697199999999995</v>
          </cell>
          <cell r="X177">
            <v>1.49</v>
          </cell>
          <cell r="Y177">
            <v>59.187199999999997</v>
          </cell>
        </row>
        <row r="178">
          <cell r="A178" t="str">
            <v>5284-1</v>
          </cell>
          <cell r="B178">
            <v>41571</v>
          </cell>
          <cell r="C178" t="str">
            <v>2013</v>
          </cell>
          <cell r="D178" t="str">
            <v>Ed Jacobs</v>
          </cell>
          <cell r="E178" t="str">
            <v>22 Civic Rd,Auburn</v>
          </cell>
          <cell r="F178" t="str">
            <v>Sydney</v>
          </cell>
          <cell r="G178" t="str">
            <v>NSW</v>
          </cell>
          <cell r="H178" t="str">
            <v>Small Business</v>
          </cell>
          <cell r="I178" t="str">
            <v>Mihael Khan</v>
          </cell>
          <cell r="J178" t="str">
            <v>High</v>
          </cell>
          <cell r="K178" t="str">
            <v>Angle-D Binders with Locking Rings, Label Holders</v>
          </cell>
          <cell r="L178" t="str">
            <v>Office Supplies</v>
          </cell>
          <cell r="M178" t="str">
            <v>Small Box</v>
          </cell>
          <cell r="N178" t="str">
            <v>Regular Air</v>
          </cell>
          <cell r="O178">
            <v>41574</v>
          </cell>
          <cell r="P178">
            <v>4.53</v>
          </cell>
          <cell r="Q178">
            <v>7.3</v>
          </cell>
          <cell r="R178">
            <v>2.7699999999999996</v>
          </cell>
          <cell r="S178">
            <v>31</v>
          </cell>
          <cell r="T178">
            <v>226.29999999999998</v>
          </cell>
          <cell r="V178">
            <v>6.7889999999999988</v>
          </cell>
          <cell r="W178">
            <v>219.511</v>
          </cell>
          <cell r="X178">
            <v>7.72</v>
          </cell>
          <cell r="Y178">
            <v>227.23099999999999</v>
          </cell>
        </row>
        <row r="179">
          <cell r="A179" t="str">
            <v>5286-1</v>
          </cell>
          <cell r="B179">
            <v>41572</v>
          </cell>
          <cell r="C179" t="str">
            <v>2013</v>
          </cell>
          <cell r="D179" t="str">
            <v>Dan Campbell</v>
          </cell>
          <cell r="E179" t="str">
            <v>1/173-179 Bronte Rd,Waverley</v>
          </cell>
          <cell r="F179" t="str">
            <v>Sydney</v>
          </cell>
          <cell r="G179" t="str">
            <v>NSW</v>
          </cell>
          <cell r="H179" t="str">
            <v>Small Business</v>
          </cell>
          <cell r="I179" t="str">
            <v>Leighton Forrest</v>
          </cell>
          <cell r="J179" t="str">
            <v>High</v>
          </cell>
          <cell r="K179" t="str">
            <v>Brown Kraft Recycled Envelopes</v>
          </cell>
          <cell r="L179" t="str">
            <v>Office Supplies</v>
          </cell>
          <cell r="M179" t="str">
            <v>Small Box</v>
          </cell>
          <cell r="N179" t="str">
            <v>Regular Air</v>
          </cell>
          <cell r="O179">
            <v>41574</v>
          </cell>
          <cell r="P179">
            <v>11.04</v>
          </cell>
          <cell r="Q179">
            <v>16.98</v>
          </cell>
          <cell r="R179">
            <v>5.9400000000000013</v>
          </cell>
          <cell r="S179">
            <v>27</v>
          </cell>
          <cell r="T179">
            <v>458.46000000000004</v>
          </cell>
          <cell r="V179">
            <v>45.846000000000004</v>
          </cell>
          <cell r="W179">
            <v>412.61400000000003</v>
          </cell>
          <cell r="X179">
            <v>12.39</v>
          </cell>
          <cell r="Y179">
            <v>425.00400000000002</v>
          </cell>
        </row>
        <row r="180">
          <cell r="A180" t="str">
            <v>5288-1</v>
          </cell>
          <cell r="B180">
            <v>41573</v>
          </cell>
          <cell r="C180" t="str">
            <v>2013</v>
          </cell>
          <cell r="D180" t="str">
            <v>Shahid Shariari</v>
          </cell>
          <cell r="E180" t="str">
            <v>3/219 Canley Vale Road,Canley Heights</v>
          </cell>
          <cell r="F180" t="str">
            <v>Sydney</v>
          </cell>
          <cell r="G180" t="str">
            <v>NSW</v>
          </cell>
          <cell r="H180" t="str">
            <v>Consumer</v>
          </cell>
          <cell r="I180" t="str">
            <v>Mihael Khan</v>
          </cell>
          <cell r="J180" t="str">
            <v>Not Specified</v>
          </cell>
          <cell r="K180" t="str">
            <v>3Max Organizer Strips</v>
          </cell>
          <cell r="L180" t="str">
            <v>Office Supplies</v>
          </cell>
          <cell r="M180" t="str">
            <v>Small Box</v>
          </cell>
          <cell r="N180" t="str">
            <v>Regular Air</v>
          </cell>
          <cell r="O180">
            <v>41575</v>
          </cell>
          <cell r="P180">
            <v>3.4</v>
          </cell>
          <cell r="Q180">
            <v>5.4</v>
          </cell>
          <cell r="R180">
            <v>2.0000000000000004</v>
          </cell>
          <cell r="S180">
            <v>47</v>
          </cell>
          <cell r="T180">
            <v>253.8</v>
          </cell>
          <cell r="V180">
            <v>7.6139999999999999</v>
          </cell>
          <cell r="W180">
            <v>246.18600000000001</v>
          </cell>
          <cell r="X180">
            <v>7.78</v>
          </cell>
          <cell r="Y180">
            <v>253.96600000000001</v>
          </cell>
        </row>
        <row r="181">
          <cell r="A181" t="str">
            <v>5290-1</v>
          </cell>
          <cell r="B181">
            <v>41575</v>
          </cell>
          <cell r="C181" t="str">
            <v>2013</v>
          </cell>
          <cell r="D181" t="str">
            <v>Toby Knight</v>
          </cell>
          <cell r="E181" t="str">
            <v>Crown Complex,Southbank</v>
          </cell>
          <cell r="F181" t="str">
            <v>Melbourne</v>
          </cell>
          <cell r="G181" t="str">
            <v>VIC</v>
          </cell>
          <cell r="H181" t="str">
            <v>Corporate</v>
          </cell>
          <cell r="I181" t="str">
            <v>Connor Betts</v>
          </cell>
          <cell r="J181" t="str">
            <v>High</v>
          </cell>
          <cell r="K181" t="str">
            <v>Laser Neon Mac Format Diskettes, 10/Pack</v>
          </cell>
          <cell r="L181" t="str">
            <v>Technology</v>
          </cell>
          <cell r="M181" t="str">
            <v>Small Pack</v>
          </cell>
          <cell r="N181" t="str">
            <v>Regular Air</v>
          </cell>
          <cell r="O181">
            <v>41576</v>
          </cell>
          <cell r="P181">
            <v>1.87</v>
          </cell>
          <cell r="Q181">
            <v>8.1199999999999992</v>
          </cell>
          <cell r="R181">
            <v>6.2499999999999991</v>
          </cell>
          <cell r="S181">
            <v>37</v>
          </cell>
          <cell r="T181">
            <v>300.44</v>
          </cell>
          <cell r="V181">
            <v>0</v>
          </cell>
          <cell r="W181">
            <v>300.44</v>
          </cell>
          <cell r="X181">
            <v>2.83</v>
          </cell>
          <cell r="Y181">
            <v>303.27</v>
          </cell>
        </row>
        <row r="182">
          <cell r="A182" t="str">
            <v>5291-1</v>
          </cell>
          <cell r="B182">
            <v>41575</v>
          </cell>
          <cell r="C182" t="str">
            <v>2013</v>
          </cell>
          <cell r="D182" t="str">
            <v>Paul Prost</v>
          </cell>
          <cell r="E182" t="str">
            <v>120 Hardware St,Melbourne</v>
          </cell>
          <cell r="F182" t="str">
            <v>Melbourne</v>
          </cell>
          <cell r="G182" t="str">
            <v>VIC</v>
          </cell>
          <cell r="H182" t="str">
            <v>Corporate</v>
          </cell>
          <cell r="I182" t="str">
            <v>Connor Betts</v>
          </cell>
          <cell r="J182" t="str">
            <v>High</v>
          </cell>
          <cell r="K182" t="str">
            <v>Steady 52201 APSCO Electric Pencil Sharpener</v>
          </cell>
          <cell r="L182" t="str">
            <v>Office Supplies</v>
          </cell>
          <cell r="M182" t="str">
            <v>Small Pack</v>
          </cell>
          <cell r="N182" t="str">
            <v>Express Air</v>
          </cell>
          <cell r="O182">
            <v>41576</v>
          </cell>
          <cell r="P182">
            <v>16.8</v>
          </cell>
          <cell r="Q182">
            <v>40.97</v>
          </cell>
          <cell r="R182">
            <v>24.169999999999998</v>
          </cell>
          <cell r="S182">
            <v>11</v>
          </cell>
          <cell r="T182">
            <v>450.66999999999996</v>
          </cell>
          <cell r="V182">
            <v>13.520099999999998</v>
          </cell>
          <cell r="W182">
            <v>437.14989999999995</v>
          </cell>
          <cell r="X182">
            <v>8.99</v>
          </cell>
          <cell r="Y182">
            <v>446.13989999999995</v>
          </cell>
        </row>
        <row r="183">
          <cell r="A183" t="str">
            <v>5292-1</v>
          </cell>
          <cell r="B183">
            <v>41576</v>
          </cell>
          <cell r="C183" t="str">
            <v>2013</v>
          </cell>
          <cell r="D183" t="str">
            <v>Sung Chung</v>
          </cell>
          <cell r="E183" t="str">
            <v>127 Liverpool St,Sydney</v>
          </cell>
          <cell r="F183" t="str">
            <v>Sydney</v>
          </cell>
          <cell r="G183" t="str">
            <v>NSW</v>
          </cell>
          <cell r="H183" t="str">
            <v>Home Office</v>
          </cell>
          <cell r="I183" t="str">
            <v>Samantha Chairs</v>
          </cell>
          <cell r="J183" t="str">
            <v>Critical</v>
          </cell>
          <cell r="K183" t="str">
            <v>Artisan 481 Labels</v>
          </cell>
          <cell r="L183" t="str">
            <v>Office Supplies</v>
          </cell>
          <cell r="M183" t="str">
            <v>Small Box</v>
          </cell>
          <cell r="N183" t="str">
            <v>Regular Air</v>
          </cell>
          <cell r="O183">
            <v>41577</v>
          </cell>
          <cell r="P183">
            <v>1.94</v>
          </cell>
          <cell r="Q183">
            <v>3.08</v>
          </cell>
          <cell r="R183">
            <v>1.1400000000000001</v>
          </cell>
          <cell r="S183">
            <v>41</v>
          </cell>
          <cell r="T183">
            <v>126.28</v>
          </cell>
          <cell r="V183">
            <v>5.0512000000000006</v>
          </cell>
          <cell r="W183">
            <v>121.22880000000001</v>
          </cell>
          <cell r="X183">
            <v>0.99</v>
          </cell>
          <cell r="Y183">
            <v>122.2188</v>
          </cell>
        </row>
        <row r="184">
          <cell r="A184" t="str">
            <v>5294-1</v>
          </cell>
          <cell r="B184">
            <v>41579</v>
          </cell>
          <cell r="C184" t="str">
            <v>2013</v>
          </cell>
          <cell r="D184" t="str">
            <v>Kristina Nunn</v>
          </cell>
          <cell r="E184" t="str">
            <v>22 Civic Rd,Auburn</v>
          </cell>
          <cell r="F184" t="str">
            <v>Sydney</v>
          </cell>
          <cell r="G184" t="str">
            <v>NSW</v>
          </cell>
          <cell r="H184" t="str">
            <v>Consumer</v>
          </cell>
          <cell r="I184" t="str">
            <v>Mihael Khan</v>
          </cell>
          <cell r="J184" t="str">
            <v>Critical</v>
          </cell>
          <cell r="K184" t="str">
            <v>Laser Neon Mac Format Diskettes, 10/Pack</v>
          </cell>
          <cell r="L184" t="str">
            <v>Technology</v>
          </cell>
          <cell r="M184" t="str">
            <v>Small Pack</v>
          </cell>
          <cell r="N184" t="str">
            <v>Regular Air</v>
          </cell>
          <cell r="O184">
            <v>41580</v>
          </cell>
          <cell r="P184">
            <v>1.87</v>
          </cell>
          <cell r="Q184">
            <v>8.1199999999999992</v>
          </cell>
          <cell r="R184">
            <v>6.2499999999999991</v>
          </cell>
          <cell r="S184">
            <v>16</v>
          </cell>
          <cell r="T184">
            <v>129.91999999999999</v>
          </cell>
          <cell r="V184">
            <v>3.8975999999999993</v>
          </cell>
          <cell r="W184">
            <v>126.02239999999999</v>
          </cell>
          <cell r="X184">
            <v>2.83</v>
          </cell>
          <cell r="Y184">
            <v>128.85239999999999</v>
          </cell>
        </row>
        <row r="185">
          <cell r="A185" t="str">
            <v>5296-1</v>
          </cell>
          <cell r="B185">
            <v>41580</v>
          </cell>
          <cell r="C185" t="str">
            <v>2013</v>
          </cell>
          <cell r="D185" t="str">
            <v>Eugene Hildebrand</v>
          </cell>
          <cell r="E185" t="str">
            <v>120 Hardware St,Melbourne</v>
          </cell>
          <cell r="F185" t="str">
            <v>Melbourne</v>
          </cell>
          <cell r="G185" t="str">
            <v>VIC</v>
          </cell>
          <cell r="H185" t="str">
            <v>Home Office</v>
          </cell>
          <cell r="I185" t="str">
            <v>Yvette Biti</v>
          </cell>
          <cell r="J185" t="str">
            <v>Medium</v>
          </cell>
          <cell r="K185" t="str">
            <v>Angle-D Binders with Locking Rings, Label Holders</v>
          </cell>
          <cell r="L185" t="str">
            <v>Office Supplies</v>
          </cell>
          <cell r="M185" t="str">
            <v>Small Box</v>
          </cell>
          <cell r="N185" t="str">
            <v>Regular Air</v>
          </cell>
          <cell r="O185">
            <v>41581</v>
          </cell>
          <cell r="P185">
            <v>4.53</v>
          </cell>
          <cell r="Q185">
            <v>7.3</v>
          </cell>
          <cell r="R185">
            <v>2.7699999999999996</v>
          </cell>
          <cell r="S185">
            <v>45</v>
          </cell>
          <cell r="T185">
            <v>328.5</v>
          </cell>
          <cell r="V185">
            <v>13.14</v>
          </cell>
          <cell r="W185">
            <v>315.36</v>
          </cell>
          <cell r="X185">
            <v>7.72</v>
          </cell>
          <cell r="Y185">
            <v>323.08000000000004</v>
          </cell>
        </row>
        <row r="186">
          <cell r="A186" t="str">
            <v>5298-1</v>
          </cell>
          <cell r="B186">
            <v>41581</v>
          </cell>
          <cell r="C186" t="str">
            <v>2013</v>
          </cell>
          <cell r="D186" t="str">
            <v>Jeremy Lonsdale</v>
          </cell>
          <cell r="E186" t="str">
            <v>163 Concord Road,North Strathfield</v>
          </cell>
          <cell r="F186" t="str">
            <v>Sydney</v>
          </cell>
          <cell r="G186" t="str">
            <v>NSW</v>
          </cell>
          <cell r="H186" t="str">
            <v>Corporate</v>
          </cell>
          <cell r="I186" t="str">
            <v>Charlie Bui</v>
          </cell>
          <cell r="J186" t="str">
            <v>Critical</v>
          </cell>
          <cell r="K186" t="str">
            <v>Apex Straight Scissors</v>
          </cell>
          <cell r="L186" t="str">
            <v>Office Supplies</v>
          </cell>
          <cell r="M186" t="str">
            <v>Small Pack</v>
          </cell>
          <cell r="N186" t="str">
            <v>Regular Air</v>
          </cell>
          <cell r="O186">
            <v>41581</v>
          </cell>
          <cell r="P186">
            <v>5.19</v>
          </cell>
          <cell r="Q186">
            <v>12.98</v>
          </cell>
          <cell r="R186">
            <v>7.79</v>
          </cell>
          <cell r="S186">
            <v>40</v>
          </cell>
          <cell r="T186">
            <v>519.20000000000005</v>
          </cell>
          <cell r="V186">
            <v>25.960000000000004</v>
          </cell>
          <cell r="W186">
            <v>493.24000000000007</v>
          </cell>
          <cell r="X186">
            <v>3.14</v>
          </cell>
          <cell r="Y186">
            <v>496.38000000000005</v>
          </cell>
        </row>
        <row r="187">
          <cell r="A187" t="str">
            <v>5299-1</v>
          </cell>
          <cell r="B187">
            <v>41583</v>
          </cell>
          <cell r="C187" t="str">
            <v>2013</v>
          </cell>
          <cell r="D187" t="str">
            <v>Victoria Pisteka</v>
          </cell>
          <cell r="E187" t="str">
            <v>8/2 Edward Street</v>
          </cell>
          <cell r="F187" t="str">
            <v>Perth</v>
          </cell>
          <cell r="G187" t="str">
            <v>WA</v>
          </cell>
          <cell r="H187" t="str">
            <v>Corporate</v>
          </cell>
          <cell r="I187" t="str">
            <v>Natasha Song</v>
          </cell>
          <cell r="J187" t="str">
            <v>Not Specified</v>
          </cell>
          <cell r="K187" t="str">
            <v>Artisan 487 Labels</v>
          </cell>
          <cell r="L187" t="str">
            <v>Office Supplies</v>
          </cell>
          <cell r="M187" t="str">
            <v>Small Box</v>
          </cell>
          <cell r="N187" t="str">
            <v>Regular Air</v>
          </cell>
          <cell r="O187">
            <v>41585</v>
          </cell>
          <cell r="P187">
            <v>2.29</v>
          </cell>
          <cell r="Q187">
            <v>3.69</v>
          </cell>
          <cell r="R187">
            <v>1.4</v>
          </cell>
          <cell r="S187">
            <v>42</v>
          </cell>
          <cell r="T187">
            <v>154.97999999999999</v>
          </cell>
          <cell r="V187">
            <v>6.1991999999999994</v>
          </cell>
          <cell r="W187">
            <v>148.7808</v>
          </cell>
          <cell r="X187">
            <v>0.5</v>
          </cell>
          <cell r="Y187">
            <v>149.2808</v>
          </cell>
        </row>
        <row r="188">
          <cell r="A188" t="str">
            <v>5300-1</v>
          </cell>
          <cell r="B188">
            <v>41583</v>
          </cell>
          <cell r="C188" t="str">
            <v>2013</v>
          </cell>
          <cell r="D188" t="str">
            <v>Liz Carlisle</v>
          </cell>
          <cell r="E188" t="str">
            <v>797 Botany Rd,Rosebery</v>
          </cell>
          <cell r="F188" t="str">
            <v>Sydney</v>
          </cell>
          <cell r="G188" t="str">
            <v>NSW</v>
          </cell>
          <cell r="H188" t="str">
            <v>Corporate</v>
          </cell>
          <cell r="I188" t="str">
            <v>Phoebe Gour</v>
          </cell>
          <cell r="J188" t="str">
            <v>Critical</v>
          </cell>
          <cell r="K188" t="str">
            <v>Lumi Crayons</v>
          </cell>
          <cell r="L188" t="str">
            <v>Office Supplies</v>
          </cell>
          <cell r="M188" t="str">
            <v>Wrap Bag</v>
          </cell>
          <cell r="N188" t="str">
            <v>Regular Air</v>
          </cell>
          <cell r="O188">
            <v>41584</v>
          </cell>
          <cell r="P188">
            <v>5.22</v>
          </cell>
          <cell r="Q188">
            <v>9.85</v>
          </cell>
          <cell r="R188">
            <v>4.63</v>
          </cell>
          <cell r="S188">
            <v>27</v>
          </cell>
          <cell r="T188">
            <v>265.95</v>
          </cell>
          <cell r="V188">
            <v>26.594999999999999</v>
          </cell>
          <cell r="W188">
            <v>239.35499999999999</v>
          </cell>
          <cell r="X188">
            <v>4.82</v>
          </cell>
          <cell r="Y188">
            <v>244.17499999999998</v>
          </cell>
        </row>
        <row r="189">
          <cell r="A189" t="str">
            <v>5302-1</v>
          </cell>
          <cell r="B189">
            <v>41585</v>
          </cell>
          <cell r="C189" t="str">
            <v>2013</v>
          </cell>
          <cell r="D189" t="str">
            <v>Dennis Kane</v>
          </cell>
          <cell r="E189" t="str">
            <v>33/4 Barangaroo Avenue,Sydney</v>
          </cell>
          <cell r="F189" t="str">
            <v>Sydney</v>
          </cell>
          <cell r="G189" t="str">
            <v>NSW</v>
          </cell>
          <cell r="H189" t="str">
            <v>Small Business</v>
          </cell>
          <cell r="I189" t="str">
            <v>Natasha Song</v>
          </cell>
          <cell r="J189" t="str">
            <v>Medium</v>
          </cell>
          <cell r="K189" t="str">
            <v>Steady Major Accent Highlighters</v>
          </cell>
          <cell r="L189" t="str">
            <v>Office Supplies</v>
          </cell>
          <cell r="M189" t="str">
            <v>Wrap Bag</v>
          </cell>
          <cell r="N189" t="str">
            <v>Express Air</v>
          </cell>
          <cell r="O189">
            <v>41586</v>
          </cell>
          <cell r="P189">
            <v>3.75</v>
          </cell>
          <cell r="Q189">
            <v>7.08</v>
          </cell>
          <cell r="R189">
            <v>3.33</v>
          </cell>
          <cell r="S189">
            <v>29</v>
          </cell>
          <cell r="T189">
            <v>205.32</v>
          </cell>
          <cell r="V189">
            <v>14.372400000000001</v>
          </cell>
          <cell r="W189">
            <v>190.94759999999999</v>
          </cell>
          <cell r="X189">
            <v>2.35</v>
          </cell>
          <cell r="Y189">
            <v>193.29759999999999</v>
          </cell>
        </row>
        <row r="190">
          <cell r="A190" t="str">
            <v>5303-1</v>
          </cell>
          <cell r="B190">
            <v>41587</v>
          </cell>
          <cell r="C190" t="str">
            <v>2013</v>
          </cell>
          <cell r="D190" t="str">
            <v>Tom Prescott</v>
          </cell>
          <cell r="E190" t="str">
            <v>8 Rankins Lane ,Melbourne</v>
          </cell>
          <cell r="F190" t="str">
            <v>Melbourne</v>
          </cell>
          <cell r="G190" t="str">
            <v>VIC</v>
          </cell>
          <cell r="H190" t="str">
            <v>Small Business</v>
          </cell>
          <cell r="I190" t="str">
            <v>Connor Betts</v>
          </cell>
          <cell r="J190" t="str">
            <v>Low</v>
          </cell>
          <cell r="K190" t="str">
            <v>Alto Memo Cubes</v>
          </cell>
          <cell r="L190" t="str">
            <v>Office Supplies</v>
          </cell>
          <cell r="M190" t="str">
            <v>Wrap Bag</v>
          </cell>
          <cell r="N190" t="str">
            <v>Regular Air</v>
          </cell>
          <cell r="O190">
            <v>41587</v>
          </cell>
          <cell r="P190">
            <v>3.32</v>
          </cell>
          <cell r="Q190">
            <v>5.18</v>
          </cell>
          <cell r="R190">
            <v>1.8599999999999999</v>
          </cell>
          <cell r="S190">
            <v>8</v>
          </cell>
          <cell r="T190">
            <v>41.44</v>
          </cell>
          <cell r="V190">
            <v>2.4863999999999997</v>
          </cell>
          <cell r="W190">
            <v>38.953599999999994</v>
          </cell>
          <cell r="X190">
            <v>2.04</v>
          </cell>
          <cell r="Y190">
            <v>40.993599999999994</v>
          </cell>
        </row>
        <row r="191">
          <cell r="A191" t="str">
            <v>5304-1</v>
          </cell>
          <cell r="B191">
            <v>41590</v>
          </cell>
          <cell r="C191" t="str">
            <v>2013</v>
          </cell>
          <cell r="D191" t="str">
            <v>Jas OCarroll</v>
          </cell>
          <cell r="E191" t="str">
            <v>3 Carrington Road ,Box Hill</v>
          </cell>
          <cell r="F191" t="str">
            <v>Melbourne</v>
          </cell>
          <cell r="G191" t="str">
            <v>VIC</v>
          </cell>
          <cell r="H191" t="str">
            <v>Corporate</v>
          </cell>
          <cell r="I191" t="str">
            <v>Yvette Biti</v>
          </cell>
          <cell r="J191" t="str">
            <v>Medium</v>
          </cell>
          <cell r="K191" t="str">
            <v>Artisan Durable Poly Binders</v>
          </cell>
          <cell r="L191" t="str">
            <v>Office Supplies</v>
          </cell>
          <cell r="M191" t="str">
            <v>Small Box</v>
          </cell>
          <cell r="N191" t="str">
            <v>Regular Air</v>
          </cell>
          <cell r="O191">
            <v>41592</v>
          </cell>
          <cell r="P191">
            <v>3.37</v>
          </cell>
          <cell r="Q191">
            <v>5.53</v>
          </cell>
          <cell r="R191">
            <v>2.16</v>
          </cell>
          <cell r="S191">
            <v>17</v>
          </cell>
          <cell r="T191">
            <v>94.01</v>
          </cell>
          <cell r="V191">
            <v>1.8802000000000001</v>
          </cell>
          <cell r="W191">
            <v>92.129800000000003</v>
          </cell>
          <cell r="X191">
            <v>6.98</v>
          </cell>
          <cell r="Y191">
            <v>99.109800000000007</v>
          </cell>
        </row>
        <row r="192">
          <cell r="A192" t="str">
            <v>5305-1</v>
          </cell>
          <cell r="B192">
            <v>41593</v>
          </cell>
          <cell r="C192" t="str">
            <v>2013</v>
          </cell>
          <cell r="D192" t="str">
            <v>Liz Price</v>
          </cell>
          <cell r="E192" t="str">
            <v>Sydney Fish Market, Bank Street, Sydney</v>
          </cell>
          <cell r="F192" t="str">
            <v>Sydney</v>
          </cell>
          <cell r="G192" t="str">
            <v>NSW</v>
          </cell>
          <cell r="H192" t="str">
            <v>Consumer</v>
          </cell>
          <cell r="I192" t="str">
            <v>Phoebe Gour</v>
          </cell>
          <cell r="J192" t="str">
            <v>Not Specified</v>
          </cell>
          <cell r="K192" t="str">
            <v>Xit Blank Computer Paper</v>
          </cell>
          <cell r="L192" t="str">
            <v>Office Supplies</v>
          </cell>
          <cell r="M192" t="str">
            <v>Small Box</v>
          </cell>
          <cell r="N192" t="str">
            <v>Regular Air</v>
          </cell>
          <cell r="O192">
            <v>41595</v>
          </cell>
          <cell r="P192">
            <v>12.39</v>
          </cell>
          <cell r="Q192">
            <v>19.98</v>
          </cell>
          <cell r="R192">
            <v>7.59</v>
          </cell>
          <cell r="S192">
            <v>47</v>
          </cell>
          <cell r="T192">
            <v>939.06000000000006</v>
          </cell>
          <cell r="V192">
            <v>37.562400000000004</v>
          </cell>
          <cell r="W192">
            <v>901.49760000000003</v>
          </cell>
          <cell r="X192">
            <v>5.77</v>
          </cell>
          <cell r="Y192">
            <v>907.26760000000002</v>
          </cell>
        </row>
        <row r="193">
          <cell r="A193" t="str">
            <v>5307-1</v>
          </cell>
          <cell r="B193">
            <v>41594</v>
          </cell>
          <cell r="C193" t="str">
            <v>2013</v>
          </cell>
          <cell r="D193" t="str">
            <v>Pamela Stobb</v>
          </cell>
          <cell r="E193" t="str">
            <v>273 George Street,Sydney</v>
          </cell>
          <cell r="F193" t="str">
            <v>Sydney</v>
          </cell>
          <cell r="G193" t="str">
            <v>NSW</v>
          </cell>
          <cell r="H193" t="str">
            <v>Consumer</v>
          </cell>
          <cell r="I193" t="str">
            <v>Leighton Forrest</v>
          </cell>
          <cell r="J193" t="str">
            <v>Not Specified</v>
          </cell>
          <cell r="K193" t="str">
            <v>Aluminum Document Frame</v>
          </cell>
          <cell r="L193" t="str">
            <v>Furniture</v>
          </cell>
          <cell r="M193" t="str">
            <v>Small Pack</v>
          </cell>
          <cell r="N193" t="str">
            <v>Regular Air</v>
          </cell>
          <cell r="O193">
            <v>41594</v>
          </cell>
          <cell r="P193">
            <v>5.5</v>
          </cell>
          <cell r="Q193">
            <v>12.22</v>
          </cell>
          <cell r="R193">
            <v>6.7200000000000006</v>
          </cell>
          <cell r="S193">
            <v>27</v>
          </cell>
          <cell r="T193">
            <v>329.94</v>
          </cell>
          <cell r="V193">
            <v>23.095800000000001</v>
          </cell>
          <cell r="W193">
            <v>306.8442</v>
          </cell>
          <cell r="X193">
            <v>2.85</v>
          </cell>
          <cell r="Y193">
            <v>309.69420000000002</v>
          </cell>
        </row>
        <row r="194">
          <cell r="A194" t="str">
            <v>5309-1</v>
          </cell>
          <cell r="B194">
            <v>41594</v>
          </cell>
          <cell r="C194" t="str">
            <v>2013</v>
          </cell>
          <cell r="D194" t="str">
            <v>Peter Fuller</v>
          </cell>
          <cell r="E194" t="str">
            <v>Westfield Miranda, 600 Kingsway,Miranda</v>
          </cell>
          <cell r="F194" t="str">
            <v>Sydney</v>
          </cell>
          <cell r="G194" t="str">
            <v>NSW</v>
          </cell>
          <cell r="H194" t="str">
            <v>Corporate</v>
          </cell>
          <cell r="I194" t="str">
            <v>Preston Senome</v>
          </cell>
          <cell r="J194" t="str">
            <v>Critical</v>
          </cell>
          <cell r="K194" t="str">
            <v>Pizazz Colored Pencils</v>
          </cell>
          <cell r="L194" t="str">
            <v>Office Supplies</v>
          </cell>
          <cell r="M194" t="str">
            <v>Wrap Bag</v>
          </cell>
          <cell r="N194" t="str">
            <v>Regular Air</v>
          </cell>
          <cell r="O194">
            <v>41595</v>
          </cell>
          <cell r="P194">
            <v>1.76</v>
          </cell>
          <cell r="Q194">
            <v>2.94</v>
          </cell>
          <cell r="R194">
            <v>1.18</v>
          </cell>
          <cell r="S194">
            <v>23</v>
          </cell>
          <cell r="T194">
            <v>67.62</v>
          </cell>
          <cell r="V194">
            <v>4.7334000000000005</v>
          </cell>
          <cell r="W194">
            <v>62.886600000000001</v>
          </cell>
          <cell r="X194">
            <v>0.81</v>
          </cell>
          <cell r="Y194">
            <v>63.696600000000004</v>
          </cell>
        </row>
        <row r="195">
          <cell r="A195" t="str">
            <v>5310-1</v>
          </cell>
          <cell r="B195">
            <v>41595</v>
          </cell>
          <cell r="C195" t="str">
            <v>2013</v>
          </cell>
          <cell r="D195" t="str">
            <v>Erin Ashbrook</v>
          </cell>
          <cell r="E195" t="str">
            <v>61 York St,Sydney</v>
          </cell>
          <cell r="F195" t="str">
            <v>Sydney</v>
          </cell>
          <cell r="G195" t="str">
            <v>NSW</v>
          </cell>
          <cell r="H195" t="str">
            <v>Consumer</v>
          </cell>
          <cell r="I195" t="str">
            <v>Leighton Forrest</v>
          </cell>
          <cell r="J195" t="str">
            <v>Critical</v>
          </cell>
          <cell r="K195" t="str">
            <v>Adesso Programmable 142-Key Keyboard</v>
          </cell>
          <cell r="L195" t="str">
            <v>Technology</v>
          </cell>
          <cell r="M195" t="str">
            <v>Small Box</v>
          </cell>
          <cell r="N195" t="str">
            <v>Express Air</v>
          </cell>
          <cell r="O195">
            <v>41597</v>
          </cell>
          <cell r="P195">
            <v>39.64</v>
          </cell>
          <cell r="Q195">
            <v>152.47999999999999</v>
          </cell>
          <cell r="R195">
            <v>112.83999999999999</v>
          </cell>
          <cell r="S195">
            <v>2</v>
          </cell>
          <cell r="T195">
            <v>304.95999999999998</v>
          </cell>
          <cell r="V195">
            <v>6.0991999999999997</v>
          </cell>
          <cell r="W195">
            <v>298.86079999999998</v>
          </cell>
          <cell r="X195">
            <v>6.5</v>
          </cell>
          <cell r="Y195">
            <v>305.36079999999998</v>
          </cell>
        </row>
        <row r="196">
          <cell r="A196" t="str">
            <v>5311-1</v>
          </cell>
          <cell r="B196">
            <v>41595</v>
          </cell>
          <cell r="C196" t="str">
            <v>2013</v>
          </cell>
          <cell r="D196" t="str">
            <v>Allen Armold</v>
          </cell>
          <cell r="E196" t="str">
            <v>101/12 Victoria Ave, Perth</v>
          </cell>
          <cell r="F196" t="str">
            <v>Melbourne</v>
          </cell>
          <cell r="G196" t="str">
            <v>VIC</v>
          </cell>
          <cell r="H196" t="str">
            <v>Home Office</v>
          </cell>
          <cell r="I196" t="str">
            <v>Connor Betts</v>
          </cell>
          <cell r="J196" t="str">
            <v>Critical</v>
          </cell>
          <cell r="K196" t="str">
            <v>Apex Office Executive Series Stainless Steel Trimmers</v>
          </cell>
          <cell r="L196" t="str">
            <v>Office Supplies</v>
          </cell>
          <cell r="M196" t="str">
            <v>Small Pack</v>
          </cell>
          <cell r="N196" t="str">
            <v>Regular Air</v>
          </cell>
          <cell r="O196">
            <v>41596</v>
          </cell>
          <cell r="P196">
            <v>3.51</v>
          </cell>
          <cell r="Q196">
            <v>8.57</v>
          </cell>
          <cell r="R196">
            <v>5.0600000000000005</v>
          </cell>
          <cell r="S196">
            <v>24</v>
          </cell>
          <cell r="T196">
            <v>205.68</v>
          </cell>
          <cell r="V196">
            <v>12.3408</v>
          </cell>
          <cell r="W196">
            <v>193.33920000000001</v>
          </cell>
          <cell r="X196">
            <v>6.14</v>
          </cell>
          <cell r="Y196">
            <v>199.47919999999999</v>
          </cell>
        </row>
        <row r="197">
          <cell r="A197" t="str">
            <v>5312-1</v>
          </cell>
          <cell r="B197">
            <v>41595</v>
          </cell>
          <cell r="C197" t="str">
            <v>2013</v>
          </cell>
          <cell r="D197" t="str">
            <v>Eugene Barchas</v>
          </cell>
          <cell r="E197" t="str">
            <v>Crown Complex,Southbank</v>
          </cell>
          <cell r="F197" t="str">
            <v>Melbourne</v>
          </cell>
          <cell r="G197" t="str">
            <v>VIC</v>
          </cell>
          <cell r="H197" t="str">
            <v>Corporate</v>
          </cell>
          <cell r="I197" t="str">
            <v>Connor Betts</v>
          </cell>
          <cell r="J197" t="str">
            <v>High</v>
          </cell>
          <cell r="K197" t="str">
            <v>Artisan Binder Labels</v>
          </cell>
          <cell r="L197" t="str">
            <v>Office Supplies</v>
          </cell>
          <cell r="M197" t="str">
            <v>Small Box</v>
          </cell>
          <cell r="N197" t="str">
            <v>Regular Air</v>
          </cell>
          <cell r="O197">
            <v>41595</v>
          </cell>
          <cell r="P197">
            <v>2.4500000000000002</v>
          </cell>
          <cell r="Q197">
            <v>3.89</v>
          </cell>
          <cell r="R197">
            <v>1.44</v>
          </cell>
          <cell r="S197">
            <v>47</v>
          </cell>
          <cell r="T197">
            <v>182.83</v>
          </cell>
          <cell r="V197">
            <v>0</v>
          </cell>
          <cell r="W197">
            <v>182.83</v>
          </cell>
          <cell r="X197">
            <v>7.01</v>
          </cell>
          <cell r="Y197">
            <v>189.84</v>
          </cell>
        </row>
        <row r="198">
          <cell r="A198" t="str">
            <v>5313-1</v>
          </cell>
          <cell r="B198">
            <v>41596</v>
          </cell>
          <cell r="C198" t="str">
            <v>2013</v>
          </cell>
          <cell r="D198" t="str">
            <v>Phillip Flathmann</v>
          </cell>
          <cell r="E198" t="str">
            <v>Macquarie Centre Cnr Herring Road &amp; Waterloo Road,Macquarie Park</v>
          </cell>
          <cell r="F198" t="str">
            <v>Sydney</v>
          </cell>
          <cell r="G198" t="str">
            <v>NSW</v>
          </cell>
          <cell r="H198" t="str">
            <v>Small Business</v>
          </cell>
          <cell r="I198" t="str">
            <v>Nicholas Fernandes</v>
          </cell>
          <cell r="J198" t="str">
            <v>Low</v>
          </cell>
          <cell r="K198" t="str">
            <v>Smiths Metal Binder Clips</v>
          </cell>
          <cell r="L198" t="str">
            <v>Office Supplies</v>
          </cell>
          <cell r="M198" t="str">
            <v>Wrap Bag</v>
          </cell>
          <cell r="N198" t="str">
            <v>Regular Air</v>
          </cell>
          <cell r="O198">
            <v>41598</v>
          </cell>
          <cell r="P198">
            <v>1.6</v>
          </cell>
          <cell r="Q198">
            <v>2.62</v>
          </cell>
          <cell r="R198">
            <v>1.02</v>
          </cell>
          <cell r="S198">
            <v>26</v>
          </cell>
          <cell r="T198">
            <v>68.12</v>
          </cell>
          <cell r="V198">
            <v>6.1307999999999998</v>
          </cell>
          <cell r="W198">
            <v>61.989200000000004</v>
          </cell>
          <cell r="X198">
            <v>0.8</v>
          </cell>
          <cell r="Y198">
            <v>62.789200000000001</v>
          </cell>
        </row>
        <row r="199">
          <cell r="A199" t="str">
            <v>5314-1</v>
          </cell>
          <cell r="B199">
            <v>41596</v>
          </cell>
          <cell r="C199" t="str">
            <v>2013</v>
          </cell>
          <cell r="D199" t="str">
            <v>Thomas Boland</v>
          </cell>
          <cell r="E199" t="str">
            <v>18 Robinson Avenue</v>
          </cell>
          <cell r="F199" t="str">
            <v>Perth</v>
          </cell>
          <cell r="G199" t="str">
            <v>WA</v>
          </cell>
          <cell r="H199" t="str">
            <v>Corporate</v>
          </cell>
          <cell r="I199" t="str">
            <v>Mihael Khan</v>
          </cell>
          <cell r="J199" t="str">
            <v>High</v>
          </cell>
          <cell r="K199" t="str">
            <v>TypeRight  Top-Opening Peel &amp; Seel  Envelopes, Gray</v>
          </cell>
          <cell r="L199" t="str">
            <v>Office Supplies</v>
          </cell>
          <cell r="M199" t="str">
            <v>Small Box</v>
          </cell>
          <cell r="N199" t="str">
            <v>Regular Air</v>
          </cell>
          <cell r="O199">
            <v>41598</v>
          </cell>
          <cell r="P199">
            <v>21.56</v>
          </cell>
          <cell r="Q199">
            <v>35.94</v>
          </cell>
          <cell r="R199">
            <v>14.379999999999999</v>
          </cell>
          <cell r="S199">
            <v>19</v>
          </cell>
          <cell r="T199">
            <v>682.8599999999999</v>
          </cell>
          <cell r="V199">
            <v>61.457399999999986</v>
          </cell>
          <cell r="W199">
            <v>621.40259999999989</v>
          </cell>
          <cell r="X199">
            <v>6.66</v>
          </cell>
          <cell r="Y199">
            <v>628.06259999999986</v>
          </cell>
        </row>
        <row r="200">
          <cell r="A200" t="str">
            <v>5315-1</v>
          </cell>
          <cell r="B200">
            <v>41597</v>
          </cell>
          <cell r="C200" t="str">
            <v>2013</v>
          </cell>
          <cell r="D200" t="str">
            <v>Chuck Magee</v>
          </cell>
          <cell r="E200" t="str">
            <v>1-2/299 Sussex St,Sydney</v>
          </cell>
          <cell r="F200" t="str">
            <v>Sydney</v>
          </cell>
          <cell r="G200" t="str">
            <v>NSW</v>
          </cell>
          <cell r="H200" t="str">
            <v>Corporate</v>
          </cell>
          <cell r="I200" t="str">
            <v>Aanya Zhang</v>
          </cell>
          <cell r="J200" t="str">
            <v>Medium</v>
          </cell>
          <cell r="K200" t="str">
            <v>Alto Parchment Paper, Assorted Colors</v>
          </cell>
          <cell r="L200" t="str">
            <v>Office Supplies</v>
          </cell>
          <cell r="M200" t="str">
            <v>Small Box</v>
          </cell>
          <cell r="N200" t="str">
            <v>Regular Air</v>
          </cell>
          <cell r="O200">
            <v>41599</v>
          </cell>
          <cell r="P200">
            <v>4.59</v>
          </cell>
          <cell r="Q200">
            <v>7.28</v>
          </cell>
          <cell r="R200">
            <v>2.6900000000000004</v>
          </cell>
          <cell r="S200">
            <v>3</v>
          </cell>
          <cell r="T200">
            <v>21.84</v>
          </cell>
          <cell r="V200">
            <v>0.21840000000000001</v>
          </cell>
          <cell r="W200">
            <v>21.621600000000001</v>
          </cell>
          <cell r="X200">
            <v>11.15</v>
          </cell>
          <cell r="Y200">
            <v>32.771599999999999</v>
          </cell>
        </row>
        <row r="201">
          <cell r="A201" t="str">
            <v>5316-1</v>
          </cell>
          <cell r="B201">
            <v>41598</v>
          </cell>
          <cell r="C201" t="str">
            <v>2013</v>
          </cell>
          <cell r="D201" t="str">
            <v>Cindy Stewart</v>
          </cell>
          <cell r="E201" t="str">
            <v>1/173-179 Bronte Rd,Waverley</v>
          </cell>
          <cell r="F201" t="str">
            <v>Sydney</v>
          </cell>
          <cell r="G201" t="str">
            <v>NSW</v>
          </cell>
          <cell r="H201" t="str">
            <v>Consumer</v>
          </cell>
          <cell r="I201" t="str">
            <v>Leighton Forrest</v>
          </cell>
          <cell r="J201" t="str">
            <v>Low</v>
          </cell>
          <cell r="K201" t="str">
            <v>Emerson C82 Color Inkjet Printer</v>
          </cell>
          <cell r="L201" t="str">
            <v>Technology</v>
          </cell>
          <cell r="M201" t="str">
            <v>Jumbo Drum</v>
          </cell>
          <cell r="N201" t="str">
            <v>Delivery Truck</v>
          </cell>
          <cell r="O201">
            <v>41605</v>
          </cell>
          <cell r="P201">
            <v>76.790000000000006</v>
          </cell>
          <cell r="Q201">
            <v>119.99</v>
          </cell>
          <cell r="R201">
            <v>43.199999999999989</v>
          </cell>
          <cell r="S201">
            <v>4</v>
          </cell>
          <cell r="T201">
            <v>479.96</v>
          </cell>
          <cell r="V201">
            <v>28.797599999999999</v>
          </cell>
          <cell r="W201">
            <v>451.16239999999999</v>
          </cell>
          <cell r="X201">
            <v>14</v>
          </cell>
          <cell r="Y201">
            <v>465.16239999999999</v>
          </cell>
        </row>
        <row r="202">
          <cell r="A202" t="str">
            <v>5318-1</v>
          </cell>
          <cell r="B202">
            <v>41598</v>
          </cell>
          <cell r="C202" t="str">
            <v>2013</v>
          </cell>
          <cell r="D202" t="str">
            <v>Toby Knight</v>
          </cell>
          <cell r="E202" t="str">
            <v>Crown Complex,Southbank</v>
          </cell>
          <cell r="F202" t="str">
            <v>Melbourne</v>
          </cell>
          <cell r="G202" t="str">
            <v>VIC</v>
          </cell>
          <cell r="H202" t="str">
            <v>Corporate</v>
          </cell>
          <cell r="I202" t="str">
            <v>Connor Betts</v>
          </cell>
          <cell r="J202" t="str">
            <v>Not Specified</v>
          </cell>
          <cell r="K202" t="str">
            <v>Steady Liquid Accent Highlighters</v>
          </cell>
          <cell r="L202" t="str">
            <v>Office Supplies</v>
          </cell>
          <cell r="M202" t="str">
            <v>Wrap Bag</v>
          </cell>
          <cell r="N202" t="str">
            <v>Regular Air</v>
          </cell>
          <cell r="O202">
            <v>41599</v>
          </cell>
          <cell r="P202">
            <v>3.47</v>
          </cell>
          <cell r="Q202">
            <v>6.68</v>
          </cell>
          <cell r="R202">
            <v>3.2099999999999995</v>
          </cell>
          <cell r="S202">
            <v>15</v>
          </cell>
          <cell r="T202">
            <v>100.19999999999999</v>
          </cell>
          <cell r="V202">
            <v>3.0059999999999993</v>
          </cell>
          <cell r="W202">
            <v>97.193999999999988</v>
          </cell>
          <cell r="X202">
            <v>1.5</v>
          </cell>
          <cell r="Y202">
            <v>98.693999999999988</v>
          </cell>
        </row>
        <row r="203">
          <cell r="A203" t="str">
            <v>5319-1</v>
          </cell>
          <cell r="B203">
            <v>41601</v>
          </cell>
          <cell r="C203" t="str">
            <v>2013</v>
          </cell>
          <cell r="D203" t="str">
            <v>Justin Hirsh</v>
          </cell>
          <cell r="E203" t="str">
            <v>Qantas Domestic Terminal,Mascot</v>
          </cell>
          <cell r="F203" t="str">
            <v>Sydney</v>
          </cell>
          <cell r="G203" t="str">
            <v>NSW</v>
          </cell>
          <cell r="H203" t="str">
            <v>Consumer</v>
          </cell>
          <cell r="I203" t="str">
            <v>Phoebe Gour</v>
          </cell>
          <cell r="J203" t="str">
            <v>Not Specified</v>
          </cell>
          <cell r="K203" t="str">
            <v>3Max Polarizing Light Filter Sleeves</v>
          </cell>
          <cell r="L203" t="str">
            <v>Furniture</v>
          </cell>
          <cell r="M203" t="str">
            <v>Small Pack</v>
          </cell>
          <cell r="N203" t="str">
            <v>Regular Air</v>
          </cell>
          <cell r="O203">
            <v>41602</v>
          </cell>
          <cell r="P203">
            <v>11.38</v>
          </cell>
          <cell r="Q203">
            <v>18.649999999999999</v>
          </cell>
          <cell r="R203">
            <v>7.2699999999999978</v>
          </cell>
          <cell r="S203">
            <v>19</v>
          </cell>
          <cell r="T203">
            <v>354.34999999999997</v>
          </cell>
          <cell r="V203">
            <v>24.804500000000001</v>
          </cell>
          <cell r="W203">
            <v>329.54549999999995</v>
          </cell>
          <cell r="X203">
            <v>3.77</v>
          </cell>
          <cell r="Y203">
            <v>333.31549999999993</v>
          </cell>
        </row>
        <row r="204">
          <cell r="A204" t="str">
            <v>5321-1</v>
          </cell>
          <cell r="B204">
            <v>41601</v>
          </cell>
          <cell r="C204" t="str">
            <v>2013</v>
          </cell>
          <cell r="D204" t="str">
            <v>Sarah Foster</v>
          </cell>
          <cell r="E204" t="str">
            <v>Sydney Fish Market, Bank Street, Sydney</v>
          </cell>
          <cell r="F204" t="str">
            <v>Sydney</v>
          </cell>
          <cell r="G204" t="str">
            <v>NSW</v>
          </cell>
          <cell r="H204" t="str">
            <v>Corporate</v>
          </cell>
          <cell r="I204" t="str">
            <v>Phoebe Gour</v>
          </cell>
          <cell r="J204" t="str">
            <v>Medium</v>
          </cell>
          <cell r="K204" t="str">
            <v>Binder Posts</v>
          </cell>
          <cell r="L204" t="str">
            <v>Office Supplies</v>
          </cell>
          <cell r="M204" t="str">
            <v>Small Box</v>
          </cell>
          <cell r="N204" t="str">
            <v>Express Air</v>
          </cell>
          <cell r="O204">
            <v>41603</v>
          </cell>
          <cell r="P204">
            <v>3.5</v>
          </cell>
          <cell r="Q204">
            <v>5.74</v>
          </cell>
          <cell r="R204">
            <v>2.2400000000000002</v>
          </cell>
          <cell r="S204">
            <v>27</v>
          </cell>
          <cell r="T204">
            <v>154.98000000000002</v>
          </cell>
          <cell r="V204">
            <v>12.398400000000002</v>
          </cell>
          <cell r="W204">
            <v>142.58160000000001</v>
          </cell>
          <cell r="X204">
            <v>5.01</v>
          </cell>
          <cell r="Y204">
            <v>147.5916</v>
          </cell>
        </row>
        <row r="205">
          <cell r="A205" t="str">
            <v>5323-1</v>
          </cell>
          <cell r="B205">
            <v>41605</v>
          </cell>
          <cell r="C205" t="str">
            <v>2013</v>
          </cell>
          <cell r="D205" t="str">
            <v>Tanja Norvell</v>
          </cell>
          <cell r="E205" t="str">
            <v>541 Church St,Richmond</v>
          </cell>
          <cell r="F205" t="str">
            <v>Melbourne</v>
          </cell>
          <cell r="G205" t="str">
            <v>VIC</v>
          </cell>
          <cell r="H205" t="str">
            <v>Consumer</v>
          </cell>
          <cell r="I205" t="str">
            <v>Yvette Biti</v>
          </cell>
          <cell r="J205" t="str">
            <v>Critical</v>
          </cell>
          <cell r="K205" t="str">
            <v>UGen RF Keyboard</v>
          </cell>
          <cell r="L205" t="str">
            <v>Technology</v>
          </cell>
          <cell r="M205" t="str">
            <v>Small Box</v>
          </cell>
          <cell r="N205" t="str">
            <v>Regular Air</v>
          </cell>
          <cell r="O205">
            <v>41607</v>
          </cell>
          <cell r="P205">
            <v>81.59</v>
          </cell>
          <cell r="Q205">
            <v>159.99</v>
          </cell>
          <cell r="R205">
            <v>78.400000000000006</v>
          </cell>
          <cell r="S205">
            <v>50</v>
          </cell>
          <cell r="T205">
            <v>7999.5</v>
          </cell>
          <cell r="V205">
            <v>399.97500000000002</v>
          </cell>
          <cell r="W205">
            <v>7599.5249999999996</v>
          </cell>
          <cell r="X205">
            <v>5.5</v>
          </cell>
          <cell r="Y205">
            <v>7605.0249999999996</v>
          </cell>
        </row>
        <row r="206">
          <cell r="A206" t="str">
            <v>5324-1</v>
          </cell>
          <cell r="B206">
            <v>41607</v>
          </cell>
          <cell r="C206" t="str">
            <v>2013</v>
          </cell>
          <cell r="D206" t="str">
            <v>Maya Herman</v>
          </cell>
          <cell r="E206" t="str">
            <v>273 George Street,Sydney</v>
          </cell>
          <cell r="F206" t="str">
            <v>Sydney</v>
          </cell>
          <cell r="G206" t="str">
            <v>NSW</v>
          </cell>
          <cell r="H206" t="str">
            <v>Corporate</v>
          </cell>
          <cell r="I206" t="str">
            <v>Leighton Forrest</v>
          </cell>
          <cell r="J206" t="str">
            <v>High</v>
          </cell>
          <cell r="K206" t="str">
            <v>Emerson C82 Color Inkjet Printer</v>
          </cell>
          <cell r="L206" t="str">
            <v>Technology</v>
          </cell>
          <cell r="M206" t="str">
            <v>Jumbo Drum</v>
          </cell>
          <cell r="N206" t="str">
            <v>Delivery Truck</v>
          </cell>
          <cell r="O206">
            <v>41609</v>
          </cell>
          <cell r="P206">
            <v>76.790000000000006</v>
          </cell>
          <cell r="Q206">
            <v>119.99</v>
          </cell>
          <cell r="R206">
            <v>43.199999999999989</v>
          </cell>
          <cell r="S206">
            <v>8</v>
          </cell>
          <cell r="T206">
            <v>959.92</v>
          </cell>
          <cell r="V206">
            <v>86.392799999999994</v>
          </cell>
          <cell r="W206">
            <v>873.52719999999999</v>
          </cell>
          <cell r="X206">
            <v>14</v>
          </cell>
          <cell r="Y206">
            <v>887.52719999999999</v>
          </cell>
        </row>
        <row r="207">
          <cell r="A207" t="str">
            <v>5326-1</v>
          </cell>
          <cell r="B207">
            <v>41613</v>
          </cell>
          <cell r="C207" t="str">
            <v>2013</v>
          </cell>
          <cell r="D207" t="str">
            <v>Trudy Brown</v>
          </cell>
          <cell r="E207" t="str">
            <v>180 High Street,Windsor</v>
          </cell>
          <cell r="F207" t="str">
            <v>Melbourne</v>
          </cell>
          <cell r="G207" t="str">
            <v>VIC</v>
          </cell>
          <cell r="H207" t="str">
            <v>Small Business</v>
          </cell>
          <cell r="I207" t="str">
            <v>Connor Betts</v>
          </cell>
          <cell r="J207" t="str">
            <v>Not Specified</v>
          </cell>
          <cell r="K207" t="str">
            <v>Steady 52201 APSCO Electric Pencil Sharpener</v>
          </cell>
          <cell r="L207" t="str">
            <v>Office Supplies</v>
          </cell>
          <cell r="M207" t="str">
            <v>Small Pack</v>
          </cell>
          <cell r="N207" t="str">
            <v>Express Air</v>
          </cell>
          <cell r="O207">
            <v>41615</v>
          </cell>
          <cell r="P207">
            <v>16.8</v>
          </cell>
          <cell r="Q207">
            <v>40.97</v>
          </cell>
          <cell r="R207">
            <v>24.169999999999998</v>
          </cell>
          <cell r="S207">
            <v>49</v>
          </cell>
          <cell r="T207">
            <v>2007.53</v>
          </cell>
          <cell r="V207">
            <v>180.67769999999999</v>
          </cell>
          <cell r="W207">
            <v>1826.8523</v>
          </cell>
          <cell r="X207">
            <v>8.99</v>
          </cell>
          <cell r="Y207">
            <v>1835.8423</v>
          </cell>
        </row>
        <row r="208">
          <cell r="A208" t="str">
            <v>5328-1</v>
          </cell>
          <cell r="B208">
            <v>41616</v>
          </cell>
          <cell r="C208" t="str">
            <v>2013</v>
          </cell>
          <cell r="D208" t="str">
            <v>Gary Hwang</v>
          </cell>
          <cell r="E208" t="str">
            <v>60 York St,Sydney</v>
          </cell>
          <cell r="F208" t="str">
            <v>Sydney</v>
          </cell>
          <cell r="G208" t="str">
            <v>NSW</v>
          </cell>
          <cell r="H208" t="str">
            <v>Home Office</v>
          </cell>
          <cell r="I208" t="str">
            <v>Charlie Bui</v>
          </cell>
          <cell r="J208" t="str">
            <v>Low</v>
          </cell>
          <cell r="K208" t="str">
            <v>Smiths Metal Binder Clips</v>
          </cell>
          <cell r="L208" t="str">
            <v>Office Supplies</v>
          </cell>
          <cell r="M208" t="str">
            <v>Wrap Bag</v>
          </cell>
          <cell r="N208" t="str">
            <v>Regular Air</v>
          </cell>
          <cell r="O208">
            <v>41623</v>
          </cell>
          <cell r="P208">
            <v>1.6</v>
          </cell>
          <cell r="Q208">
            <v>2.62</v>
          </cell>
          <cell r="R208">
            <v>1.02</v>
          </cell>
          <cell r="S208">
            <v>47</v>
          </cell>
          <cell r="T208">
            <v>123.14</v>
          </cell>
          <cell r="V208">
            <v>12.314</v>
          </cell>
          <cell r="W208">
            <v>110.82599999999999</v>
          </cell>
          <cell r="X208">
            <v>0.8</v>
          </cell>
          <cell r="Y208">
            <v>111.62599999999999</v>
          </cell>
        </row>
        <row r="209">
          <cell r="A209" t="str">
            <v>5330-1</v>
          </cell>
          <cell r="B209">
            <v>41616</v>
          </cell>
          <cell r="C209" t="str">
            <v>2013</v>
          </cell>
          <cell r="D209" t="str">
            <v>Larry Tron</v>
          </cell>
          <cell r="E209" t="str">
            <v>4A Lyons St,Strathfield</v>
          </cell>
          <cell r="F209" t="str">
            <v>Sydney</v>
          </cell>
          <cell r="G209" t="str">
            <v>NSW</v>
          </cell>
          <cell r="H209" t="str">
            <v>Home Office</v>
          </cell>
          <cell r="I209" t="str">
            <v>Tina Carlton</v>
          </cell>
          <cell r="J209" t="str">
            <v>Medium</v>
          </cell>
          <cell r="K209" t="str">
            <v>Steady Pocket Accent Highlighters</v>
          </cell>
          <cell r="L209" t="str">
            <v>Office Supplies</v>
          </cell>
          <cell r="M209" t="str">
            <v>Wrap Bag</v>
          </cell>
          <cell r="N209" t="str">
            <v>Regular Air</v>
          </cell>
          <cell r="O209">
            <v>41616</v>
          </cell>
          <cell r="P209">
            <v>0.93</v>
          </cell>
          <cell r="Q209">
            <v>1.6</v>
          </cell>
          <cell r="R209">
            <v>0.67</v>
          </cell>
          <cell r="S209">
            <v>25</v>
          </cell>
          <cell r="T209">
            <v>40</v>
          </cell>
          <cell r="V209">
            <v>4</v>
          </cell>
          <cell r="W209">
            <v>36</v>
          </cell>
          <cell r="X209">
            <v>1.29</v>
          </cell>
          <cell r="Y209">
            <v>37.29</v>
          </cell>
        </row>
        <row r="210">
          <cell r="A210" t="str">
            <v>5332-1</v>
          </cell>
          <cell r="B210">
            <v>41617</v>
          </cell>
          <cell r="C210" t="str">
            <v>2013</v>
          </cell>
          <cell r="D210" t="str">
            <v>Dan Campbell</v>
          </cell>
          <cell r="E210" t="str">
            <v>1/173-179 Bronte Rd,Waverley</v>
          </cell>
          <cell r="F210" t="str">
            <v>Sydney</v>
          </cell>
          <cell r="G210" t="str">
            <v>NSW</v>
          </cell>
          <cell r="H210" t="str">
            <v>Corporate</v>
          </cell>
          <cell r="I210" t="str">
            <v>Leighton Forrest</v>
          </cell>
          <cell r="J210" t="str">
            <v>Critical</v>
          </cell>
          <cell r="K210" t="str">
            <v>Bagged Rubber Bands</v>
          </cell>
          <cell r="L210" t="str">
            <v>Office Supplies</v>
          </cell>
          <cell r="M210" t="str">
            <v>Wrap Bag</v>
          </cell>
          <cell r="N210" t="str">
            <v>Regular Air</v>
          </cell>
          <cell r="O210">
            <v>41617</v>
          </cell>
          <cell r="P210">
            <v>0.24</v>
          </cell>
          <cell r="Q210">
            <v>1.26</v>
          </cell>
          <cell r="R210">
            <v>1.02</v>
          </cell>
          <cell r="S210">
            <v>9</v>
          </cell>
          <cell r="T210">
            <v>11.34</v>
          </cell>
          <cell r="V210">
            <v>0.6804</v>
          </cell>
          <cell r="W210">
            <v>10.659599999999999</v>
          </cell>
          <cell r="X210">
            <v>0.7</v>
          </cell>
          <cell r="Y210">
            <v>11.359599999999999</v>
          </cell>
        </row>
        <row r="211">
          <cell r="A211" t="str">
            <v>5334-1</v>
          </cell>
          <cell r="B211">
            <v>41618</v>
          </cell>
          <cell r="C211" t="str">
            <v>2013</v>
          </cell>
          <cell r="D211" t="str">
            <v>Eric Barreto</v>
          </cell>
          <cell r="E211" t="str">
            <v>14 Money Street</v>
          </cell>
          <cell r="F211" t="str">
            <v>Perth</v>
          </cell>
          <cell r="G211" t="str">
            <v>WA</v>
          </cell>
          <cell r="H211" t="str">
            <v>Small Business</v>
          </cell>
          <cell r="I211" t="str">
            <v>Phoebe Gour</v>
          </cell>
          <cell r="J211" t="str">
            <v>Not Specified</v>
          </cell>
          <cell r="K211" t="str">
            <v>Artisan Hanging File Binders</v>
          </cell>
          <cell r="L211" t="str">
            <v>Office Supplies</v>
          </cell>
          <cell r="M211" t="str">
            <v>Small Box</v>
          </cell>
          <cell r="N211" t="str">
            <v>Regular Air</v>
          </cell>
          <cell r="O211">
            <v>41620</v>
          </cell>
          <cell r="P211">
            <v>3.65</v>
          </cell>
          <cell r="Q211">
            <v>5.98</v>
          </cell>
          <cell r="R211">
            <v>2.3300000000000005</v>
          </cell>
          <cell r="S211">
            <v>25</v>
          </cell>
          <cell r="T211">
            <v>149.5</v>
          </cell>
          <cell r="V211">
            <v>4.4849999999999994</v>
          </cell>
          <cell r="W211">
            <v>145.01499999999999</v>
          </cell>
          <cell r="X211">
            <v>1.49</v>
          </cell>
          <cell r="Y211">
            <v>146.505</v>
          </cell>
        </row>
        <row r="212">
          <cell r="A212" t="str">
            <v>5335-1</v>
          </cell>
          <cell r="B212">
            <v>41619</v>
          </cell>
          <cell r="C212" t="str">
            <v>2013</v>
          </cell>
          <cell r="D212" t="str">
            <v>Patrick Jones</v>
          </cell>
          <cell r="E212" t="str">
            <v>221 Barkly St,St Kilda</v>
          </cell>
          <cell r="F212" t="str">
            <v>Melbourne</v>
          </cell>
          <cell r="G212" t="str">
            <v>VIC</v>
          </cell>
          <cell r="H212" t="str">
            <v>Home Office</v>
          </cell>
          <cell r="I212" t="str">
            <v>Yvette Biti</v>
          </cell>
          <cell r="J212" t="str">
            <v>Low</v>
          </cell>
          <cell r="K212" t="str">
            <v>Artisan Printable Repositionable Plastic Tabs</v>
          </cell>
          <cell r="L212" t="str">
            <v>Office Supplies</v>
          </cell>
          <cell r="M212" t="str">
            <v>Small Box</v>
          </cell>
          <cell r="N212" t="str">
            <v>Regular Air</v>
          </cell>
          <cell r="O212">
            <v>41621</v>
          </cell>
          <cell r="P212">
            <v>5.33</v>
          </cell>
          <cell r="Q212">
            <v>8.6</v>
          </cell>
          <cell r="R212">
            <v>3.2699999999999996</v>
          </cell>
          <cell r="S212">
            <v>6</v>
          </cell>
          <cell r="T212">
            <v>51.599999999999994</v>
          </cell>
          <cell r="V212">
            <v>2.0639999999999996</v>
          </cell>
          <cell r="W212">
            <v>49.535999999999994</v>
          </cell>
          <cell r="X212">
            <v>6.19</v>
          </cell>
          <cell r="Y212">
            <v>55.725999999999992</v>
          </cell>
        </row>
        <row r="213">
          <cell r="A213" t="str">
            <v>5335-2</v>
          </cell>
          <cell r="B213">
            <v>41619</v>
          </cell>
          <cell r="C213" t="str">
            <v>2013</v>
          </cell>
          <cell r="D213" t="str">
            <v>Patrick Jones</v>
          </cell>
          <cell r="E213" t="str">
            <v>221 Barkly St,St Kilda</v>
          </cell>
          <cell r="F213" t="str">
            <v>Melbourne</v>
          </cell>
          <cell r="G213" t="str">
            <v>VIC</v>
          </cell>
          <cell r="H213" t="str">
            <v>Home Office</v>
          </cell>
          <cell r="I213" t="str">
            <v>Yvette Biti</v>
          </cell>
          <cell r="J213" t="str">
            <v>Low</v>
          </cell>
          <cell r="K213" t="str">
            <v>OIC Colored Binder Clips, Assorted Sizes</v>
          </cell>
          <cell r="L213" t="str">
            <v>Office Supplies</v>
          </cell>
          <cell r="M213" t="str">
            <v>Wrap Bag</v>
          </cell>
          <cell r="N213" t="str">
            <v>Regular Air</v>
          </cell>
          <cell r="O213">
            <v>41623</v>
          </cell>
          <cell r="P213">
            <v>2.29</v>
          </cell>
          <cell r="Q213">
            <v>3.58</v>
          </cell>
          <cell r="R213">
            <v>1.29</v>
          </cell>
          <cell r="S213">
            <v>30</v>
          </cell>
          <cell r="T213">
            <v>107.4</v>
          </cell>
          <cell r="V213">
            <v>1.0740000000000001</v>
          </cell>
          <cell r="W213">
            <v>106.32600000000001</v>
          </cell>
          <cell r="X213">
            <v>1.63</v>
          </cell>
          <cell r="Y213">
            <v>107.956</v>
          </cell>
        </row>
        <row r="214">
          <cell r="A214" t="str">
            <v>5336-1</v>
          </cell>
          <cell r="B214">
            <v>41619</v>
          </cell>
          <cell r="C214" t="str">
            <v>2013</v>
          </cell>
          <cell r="D214" t="str">
            <v>Bill Stewart</v>
          </cell>
          <cell r="E214" t="str">
            <v>37/59 Brewer Street, Perth</v>
          </cell>
          <cell r="F214" t="str">
            <v>Sydney</v>
          </cell>
          <cell r="G214" t="str">
            <v>NSW</v>
          </cell>
          <cell r="H214" t="str">
            <v>Corporate</v>
          </cell>
          <cell r="I214" t="str">
            <v>Tina Carlton</v>
          </cell>
          <cell r="J214" t="str">
            <v>Low</v>
          </cell>
          <cell r="K214" t="str">
            <v>Binding Machine Supplies</v>
          </cell>
          <cell r="L214" t="str">
            <v>Office Supplies</v>
          </cell>
          <cell r="M214" t="str">
            <v>Small Box</v>
          </cell>
          <cell r="N214" t="str">
            <v>Regular Air</v>
          </cell>
          <cell r="O214">
            <v>41623</v>
          </cell>
          <cell r="P214">
            <v>18.38</v>
          </cell>
          <cell r="Q214">
            <v>29.17</v>
          </cell>
          <cell r="R214">
            <v>10.790000000000003</v>
          </cell>
          <cell r="S214">
            <v>16</v>
          </cell>
          <cell r="T214">
            <v>466.72</v>
          </cell>
          <cell r="V214">
            <v>32.670400000000008</v>
          </cell>
          <cell r="W214">
            <v>434.0496</v>
          </cell>
          <cell r="X214">
            <v>6.27</v>
          </cell>
          <cell r="Y214">
            <v>440.31959999999998</v>
          </cell>
        </row>
        <row r="215">
          <cell r="A215" t="str">
            <v>5340-1</v>
          </cell>
          <cell r="B215">
            <v>41621</v>
          </cell>
          <cell r="C215" t="str">
            <v>2013</v>
          </cell>
          <cell r="D215" t="str">
            <v>Joseph Airdo</v>
          </cell>
          <cell r="E215" t="str">
            <v>Westfield Sydney,Sydney</v>
          </cell>
          <cell r="F215" t="str">
            <v>Sydney</v>
          </cell>
          <cell r="G215" t="str">
            <v>NSW</v>
          </cell>
          <cell r="H215" t="str">
            <v>Consumer</v>
          </cell>
          <cell r="I215" t="str">
            <v>Natasha Song</v>
          </cell>
          <cell r="J215" t="str">
            <v>Not Specified</v>
          </cell>
          <cell r="K215" t="str">
            <v>Artisan Binding System Hidden Tab Executive Style Index Sets</v>
          </cell>
          <cell r="L215" t="str">
            <v>Office Supplies</v>
          </cell>
          <cell r="M215" t="str">
            <v>Small Box</v>
          </cell>
          <cell r="N215" t="str">
            <v>Regular Air</v>
          </cell>
          <cell r="O215">
            <v>41622</v>
          </cell>
          <cell r="P215">
            <v>3.75</v>
          </cell>
          <cell r="Q215">
            <v>5.77</v>
          </cell>
          <cell r="R215">
            <v>2.0199999999999996</v>
          </cell>
          <cell r="S215">
            <v>9</v>
          </cell>
          <cell r="T215">
            <v>51.929999999999993</v>
          </cell>
          <cell r="V215">
            <v>0</v>
          </cell>
          <cell r="W215">
            <v>51.929999999999993</v>
          </cell>
          <cell r="X215">
            <v>4.97</v>
          </cell>
          <cell r="Y215">
            <v>56.899999999999991</v>
          </cell>
        </row>
        <row r="216">
          <cell r="A216" t="str">
            <v>5342-1</v>
          </cell>
          <cell r="B216">
            <v>41621</v>
          </cell>
          <cell r="C216" t="str">
            <v>2013</v>
          </cell>
          <cell r="D216" t="str">
            <v>Ben Peterman</v>
          </cell>
          <cell r="E216" t="str">
            <v>22 St Georges Terrace, Perth</v>
          </cell>
          <cell r="F216" t="str">
            <v>Sydney</v>
          </cell>
          <cell r="G216" t="str">
            <v>NSW</v>
          </cell>
          <cell r="H216" t="str">
            <v>Corporate</v>
          </cell>
          <cell r="I216" t="str">
            <v>Leighton Forrest</v>
          </cell>
          <cell r="J216" t="str">
            <v>Critical</v>
          </cell>
          <cell r="K216" t="str">
            <v>Artisan Hi-Liter GlideStik Fluorescent Highlighter, Yellow Ink</v>
          </cell>
          <cell r="L216" t="str">
            <v>Office Supplies</v>
          </cell>
          <cell r="M216" t="str">
            <v>Wrap Bag</v>
          </cell>
          <cell r="N216" t="str">
            <v>Regular Air</v>
          </cell>
          <cell r="O216">
            <v>41623</v>
          </cell>
          <cell r="P216">
            <v>1.92</v>
          </cell>
          <cell r="Q216">
            <v>3.26</v>
          </cell>
          <cell r="R216">
            <v>1.3399999999999999</v>
          </cell>
          <cell r="S216">
            <v>6</v>
          </cell>
          <cell r="T216">
            <v>19.559999999999999</v>
          </cell>
          <cell r="V216">
            <v>0.1956</v>
          </cell>
          <cell r="W216">
            <v>19.3644</v>
          </cell>
          <cell r="X216">
            <v>1.86</v>
          </cell>
          <cell r="Y216">
            <v>21.224399999999999</v>
          </cell>
        </row>
        <row r="217">
          <cell r="A217" t="str">
            <v>5343-1</v>
          </cell>
          <cell r="B217">
            <v>41624</v>
          </cell>
          <cell r="C217" t="str">
            <v>2013</v>
          </cell>
          <cell r="D217" t="str">
            <v>Henry Goldwyn</v>
          </cell>
          <cell r="E217" t="str">
            <v>541 Church St,Richmond</v>
          </cell>
          <cell r="F217" t="str">
            <v>Melbourne</v>
          </cell>
          <cell r="G217" t="str">
            <v>VIC</v>
          </cell>
          <cell r="H217" t="str">
            <v>Small Business</v>
          </cell>
          <cell r="I217" t="str">
            <v>Yvette Biti</v>
          </cell>
          <cell r="J217" t="str">
            <v>Critical</v>
          </cell>
          <cell r="K217" t="str">
            <v>Artisan 487 Labels</v>
          </cell>
          <cell r="L217" t="str">
            <v>Office Supplies</v>
          </cell>
          <cell r="M217" t="str">
            <v>Small Box</v>
          </cell>
          <cell r="N217" t="str">
            <v>Regular Air</v>
          </cell>
          <cell r="O217">
            <v>41627</v>
          </cell>
          <cell r="P217">
            <v>2.29</v>
          </cell>
          <cell r="Q217">
            <v>3.69</v>
          </cell>
          <cell r="R217">
            <v>1.4</v>
          </cell>
          <cell r="S217">
            <v>45</v>
          </cell>
          <cell r="T217">
            <v>166.05</v>
          </cell>
          <cell r="V217">
            <v>13.284000000000001</v>
          </cell>
          <cell r="W217">
            <v>152.76600000000002</v>
          </cell>
          <cell r="X217">
            <v>0.5</v>
          </cell>
          <cell r="Y217">
            <v>153.26600000000002</v>
          </cell>
        </row>
        <row r="218">
          <cell r="A218" t="str">
            <v>5345-1</v>
          </cell>
          <cell r="B218">
            <v>41625</v>
          </cell>
          <cell r="C218" t="str">
            <v>2013</v>
          </cell>
          <cell r="D218" t="str">
            <v>Tony Molinari</v>
          </cell>
          <cell r="E218" t="str">
            <v>85-113 Dunning Ave,Rosebery</v>
          </cell>
          <cell r="F218" t="str">
            <v>Sydney</v>
          </cell>
          <cell r="G218" t="str">
            <v>NSW</v>
          </cell>
          <cell r="H218" t="str">
            <v>Corporate</v>
          </cell>
          <cell r="I218" t="str">
            <v>Mihael Khan</v>
          </cell>
          <cell r="J218" t="str">
            <v>Critical</v>
          </cell>
          <cell r="K218" t="str">
            <v>Artisan Printable Repositionable Plastic Tabs</v>
          </cell>
          <cell r="L218" t="str">
            <v>Office Supplies</v>
          </cell>
          <cell r="M218" t="str">
            <v>Small Box</v>
          </cell>
          <cell r="N218" t="str">
            <v>Regular Air</v>
          </cell>
          <cell r="O218">
            <v>41627</v>
          </cell>
          <cell r="P218">
            <v>5.33</v>
          </cell>
          <cell r="Q218">
            <v>8.6</v>
          </cell>
          <cell r="R218">
            <v>3.2699999999999996</v>
          </cell>
          <cell r="S218">
            <v>23</v>
          </cell>
          <cell r="T218">
            <v>197.79999999999998</v>
          </cell>
          <cell r="V218">
            <v>3.956</v>
          </cell>
          <cell r="W218">
            <v>193.84399999999999</v>
          </cell>
          <cell r="X218">
            <v>6.19</v>
          </cell>
          <cell r="Y218">
            <v>200.03399999999999</v>
          </cell>
        </row>
        <row r="219">
          <cell r="A219" t="str">
            <v>5346-1</v>
          </cell>
          <cell r="B219">
            <v>41627</v>
          </cell>
          <cell r="C219" t="str">
            <v>2013</v>
          </cell>
          <cell r="D219" t="str">
            <v>Joy Smith</v>
          </cell>
          <cell r="E219" t="str">
            <v>221 Barkly St,St Kilda</v>
          </cell>
          <cell r="F219" t="str">
            <v>Melbourne</v>
          </cell>
          <cell r="G219" t="str">
            <v>VIC</v>
          </cell>
          <cell r="H219" t="str">
            <v>Consumer</v>
          </cell>
          <cell r="I219" t="str">
            <v>Yvette Biti</v>
          </cell>
          <cell r="J219" t="str">
            <v>High</v>
          </cell>
          <cell r="K219" t="str">
            <v>TechSavi Cordless Navigator Duo</v>
          </cell>
          <cell r="L219" t="str">
            <v>Technology</v>
          </cell>
          <cell r="M219" t="str">
            <v>Small Box</v>
          </cell>
          <cell r="N219" t="str">
            <v>Regular Air</v>
          </cell>
          <cell r="O219">
            <v>41629</v>
          </cell>
          <cell r="P219">
            <v>42.11</v>
          </cell>
          <cell r="Q219">
            <v>80.98</v>
          </cell>
          <cell r="R219">
            <v>38.870000000000005</v>
          </cell>
          <cell r="S219">
            <v>13</v>
          </cell>
          <cell r="T219">
            <v>1052.74</v>
          </cell>
          <cell r="V219">
            <v>31.5822</v>
          </cell>
          <cell r="W219">
            <v>1021.1578</v>
          </cell>
          <cell r="X219">
            <v>7.18</v>
          </cell>
          <cell r="Y219">
            <v>1028.3378</v>
          </cell>
        </row>
        <row r="220">
          <cell r="A220" t="str">
            <v>5347-1</v>
          </cell>
          <cell r="B220">
            <v>41631</v>
          </cell>
          <cell r="C220" t="str">
            <v>2013</v>
          </cell>
          <cell r="D220" t="str">
            <v>Brian Dahlen</v>
          </cell>
          <cell r="E220" t="str">
            <v>1-2/299 Sussex St,Sydney</v>
          </cell>
          <cell r="F220" t="str">
            <v>Sydney</v>
          </cell>
          <cell r="G220" t="str">
            <v>NSW</v>
          </cell>
          <cell r="H220" t="str">
            <v>Small Business</v>
          </cell>
          <cell r="I220" t="str">
            <v>Aanya Zhang</v>
          </cell>
          <cell r="J220" t="str">
            <v>Critical</v>
          </cell>
          <cell r="K220" t="str">
            <v>Adesso Programmable 142-Key Keyboard</v>
          </cell>
          <cell r="L220" t="str">
            <v>Technology</v>
          </cell>
          <cell r="M220" t="str">
            <v>Small Box</v>
          </cell>
          <cell r="N220" t="str">
            <v>Regular Air</v>
          </cell>
          <cell r="O220">
            <v>41633</v>
          </cell>
          <cell r="P220">
            <v>39.64</v>
          </cell>
          <cell r="Q220">
            <v>152.47999999999999</v>
          </cell>
          <cell r="R220">
            <v>112.83999999999999</v>
          </cell>
          <cell r="S220">
            <v>41</v>
          </cell>
          <cell r="T220">
            <v>6251.6799999999994</v>
          </cell>
          <cell r="V220">
            <v>437.61759999999998</v>
          </cell>
          <cell r="W220">
            <v>5814.0623999999998</v>
          </cell>
          <cell r="X220">
            <v>6.5</v>
          </cell>
          <cell r="Y220">
            <v>5820.5623999999998</v>
          </cell>
        </row>
        <row r="221">
          <cell r="A221" t="str">
            <v>5349-1</v>
          </cell>
          <cell r="B221">
            <v>41631</v>
          </cell>
          <cell r="C221" t="str">
            <v>2013</v>
          </cell>
          <cell r="D221" t="str">
            <v>Don Miller</v>
          </cell>
          <cell r="E221" t="str">
            <v>120 Hardware St,Melbourne</v>
          </cell>
          <cell r="F221" t="str">
            <v>Melbourne</v>
          </cell>
          <cell r="G221" t="str">
            <v>VIC</v>
          </cell>
          <cell r="H221" t="str">
            <v>Home Office</v>
          </cell>
          <cell r="I221" t="str">
            <v>Connor Betts</v>
          </cell>
          <cell r="J221" t="str">
            <v>Medium</v>
          </cell>
          <cell r="K221" t="str">
            <v>Artisan 478 Labels</v>
          </cell>
          <cell r="L221" t="str">
            <v>Office Supplies</v>
          </cell>
          <cell r="M221" t="str">
            <v>Small Box</v>
          </cell>
          <cell r="N221" t="str">
            <v>Regular Air</v>
          </cell>
          <cell r="O221">
            <v>41631</v>
          </cell>
          <cell r="P221">
            <v>3.14</v>
          </cell>
          <cell r="Q221">
            <v>4.91</v>
          </cell>
          <cell r="R221">
            <v>1.77</v>
          </cell>
          <cell r="S221">
            <v>12</v>
          </cell>
          <cell r="T221">
            <v>58.92</v>
          </cell>
          <cell r="V221">
            <v>2.3568000000000002</v>
          </cell>
          <cell r="W221">
            <v>56.563200000000002</v>
          </cell>
          <cell r="X221">
            <v>0.5</v>
          </cell>
          <cell r="Y221">
            <v>57.063200000000002</v>
          </cell>
        </row>
        <row r="222">
          <cell r="A222" t="str">
            <v>5350-1</v>
          </cell>
          <cell r="B222">
            <v>41635</v>
          </cell>
          <cell r="C222" t="str">
            <v>2013</v>
          </cell>
          <cell r="D222" t="str">
            <v>Denise Monton</v>
          </cell>
          <cell r="E222" t="str">
            <v>2/797 Botany Rd,Rosebery</v>
          </cell>
          <cell r="F222" t="str">
            <v>Sydney</v>
          </cell>
          <cell r="G222" t="str">
            <v>NSW</v>
          </cell>
          <cell r="H222" t="str">
            <v>Home Office</v>
          </cell>
          <cell r="I222" t="str">
            <v>Samantha Chairs</v>
          </cell>
          <cell r="J222" t="str">
            <v>Low</v>
          </cell>
          <cell r="K222" t="str">
            <v>Binding Machine Supplies</v>
          </cell>
          <cell r="L222" t="str">
            <v>Office Supplies</v>
          </cell>
          <cell r="M222" t="str">
            <v>Small Box</v>
          </cell>
          <cell r="N222" t="str">
            <v>Regular Air</v>
          </cell>
          <cell r="O222">
            <v>41637</v>
          </cell>
          <cell r="P222">
            <v>18.38</v>
          </cell>
          <cell r="Q222">
            <v>29.17</v>
          </cell>
          <cell r="R222">
            <v>10.790000000000003</v>
          </cell>
          <cell r="S222">
            <v>37</v>
          </cell>
          <cell r="T222">
            <v>1079.29</v>
          </cell>
          <cell r="V222">
            <v>97.136099999999999</v>
          </cell>
          <cell r="W222">
            <v>982.15390000000002</v>
          </cell>
          <cell r="X222">
            <v>6.27</v>
          </cell>
          <cell r="Y222">
            <v>988.4239</v>
          </cell>
        </row>
        <row r="223">
          <cell r="A223" t="str">
            <v>5352-1</v>
          </cell>
          <cell r="B223">
            <v>41637</v>
          </cell>
          <cell r="C223" t="str">
            <v>2013</v>
          </cell>
          <cell r="D223" t="str">
            <v>Christy Brittain</v>
          </cell>
          <cell r="E223" t="str">
            <v>Shop 1, 186-190 Church Street,Parramatta;46a Macleay Street,Potts Point</v>
          </cell>
          <cell r="F223" t="str">
            <v>Sydney</v>
          </cell>
          <cell r="G223" t="str">
            <v>NSW</v>
          </cell>
          <cell r="H223" t="str">
            <v>Consumer</v>
          </cell>
          <cell r="I223" t="str">
            <v>Mihael Khan</v>
          </cell>
          <cell r="J223" t="str">
            <v>Medium</v>
          </cell>
          <cell r="K223" t="str">
            <v>DrawIt Pizazz Watercolor Pencils, 10-Color Set with Brush</v>
          </cell>
          <cell r="L223" t="str">
            <v>Office Supplies</v>
          </cell>
          <cell r="M223" t="str">
            <v>Wrap Bag</v>
          </cell>
          <cell r="N223" t="str">
            <v>Regular Air</v>
          </cell>
          <cell r="O223">
            <v>41638</v>
          </cell>
          <cell r="P223">
            <v>2.39</v>
          </cell>
          <cell r="Q223">
            <v>4.26</v>
          </cell>
          <cell r="R223">
            <v>1.8699999999999997</v>
          </cell>
          <cell r="S223">
            <v>26</v>
          </cell>
          <cell r="T223">
            <v>110.75999999999999</v>
          </cell>
          <cell r="V223">
            <v>11.076000000000001</v>
          </cell>
          <cell r="W223">
            <v>99.683999999999997</v>
          </cell>
          <cell r="X223">
            <v>1.2</v>
          </cell>
          <cell r="Y223">
            <v>100.884</v>
          </cell>
        </row>
        <row r="224">
          <cell r="A224" t="str">
            <v>5354-1</v>
          </cell>
          <cell r="B224">
            <v>41637</v>
          </cell>
          <cell r="C224" t="str">
            <v>2013</v>
          </cell>
          <cell r="D224" t="str">
            <v>John Castell</v>
          </cell>
          <cell r="E224" t="str">
            <v>38/133-145 Castlereagh St,Sydney</v>
          </cell>
          <cell r="F224" t="str">
            <v>Sydney</v>
          </cell>
          <cell r="G224" t="str">
            <v>NSW</v>
          </cell>
          <cell r="H224" t="str">
            <v>Small Business</v>
          </cell>
          <cell r="I224" t="str">
            <v>Natasha Song</v>
          </cell>
          <cell r="J224" t="str">
            <v>Not Specified</v>
          </cell>
          <cell r="K224" t="str">
            <v>TechSavi Cordless Elite Duo</v>
          </cell>
          <cell r="L224" t="str">
            <v>Technology</v>
          </cell>
          <cell r="M224" t="str">
            <v>Small Box</v>
          </cell>
          <cell r="N224" t="str">
            <v>Regular Air</v>
          </cell>
          <cell r="O224">
            <v>41638</v>
          </cell>
          <cell r="P224">
            <v>60.59</v>
          </cell>
          <cell r="Q224">
            <v>100.98</v>
          </cell>
          <cell r="R224">
            <v>40.39</v>
          </cell>
          <cell r="S224">
            <v>1</v>
          </cell>
          <cell r="T224">
            <v>100.98</v>
          </cell>
          <cell r="V224">
            <v>10.098000000000001</v>
          </cell>
          <cell r="W224">
            <v>90.882000000000005</v>
          </cell>
          <cell r="X224">
            <v>7.18</v>
          </cell>
          <cell r="Y224">
            <v>98.062000000000012</v>
          </cell>
        </row>
        <row r="225">
          <cell r="A225" t="str">
            <v>5355-1</v>
          </cell>
          <cell r="B225">
            <v>41638</v>
          </cell>
          <cell r="C225" t="str">
            <v>2013</v>
          </cell>
          <cell r="D225" t="str">
            <v>Duane Huffman</v>
          </cell>
          <cell r="E225" t="str">
            <v>98 Holdsworth Street,Woollahra</v>
          </cell>
          <cell r="F225" t="str">
            <v>Sydney</v>
          </cell>
          <cell r="G225" t="str">
            <v>NSW</v>
          </cell>
          <cell r="H225" t="str">
            <v>Small Business</v>
          </cell>
          <cell r="I225" t="str">
            <v>Natasha Song</v>
          </cell>
          <cell r="J225" t="str">
            <v>High</v>
          </cell>
          <cell r="K225" t="str">
            <v>Apex Forged Steel Scissors with Black Enamel Handles</v>
          </cell>
          <cell r="L225" t="str">
            <v>Office Supplies</v>
          </cell>
          <cell r="M225" t="str">
            <v>Small Pack</v>
          </cell>
          <cell r="N225" t="str">
            <v>Regular Air</v>
          </cell>
          <cell r="O225">
            <v>41639</v>
          </cell>
          <cell r="P225">
            <v>4.0999999999999996</v>
          </cell>
          <cell r="Q225">
            <v>9.31</v>
          </cell>
          <cell r="R225">
            <v>5.2100000000000009</v>
          </cell>
          <cell r="S225">
            <v>18</v>
          </cell>
          <cell r="T225">
            <v>167.58</v>
          </cell>
          <cell r="V225">
            <v>1.6758000000000002</v>
          </cell>
          <cell r="W225">
            <v>165.9042</v>
          </cell>
          <cell r="X225">
            <v>3.98</v>
          </cell>
          <cell r="Y225">
            <v>169.88419999999999</v>
          </cell>
        </row>
        <row r="226">
          <cell r="A226" t="str">
            <v>5357-1</v>
          </cell>
          <cell r="B226">
            <v>41638</v>
          </cell>
          <cell r="C226" t="str">
            <v>2013</v>
          </cell>
          <cell r="D226" t="str">
            <v>Trudy Brown</v>
          </cell>
          <cell r="E226" t="str">
            <v>180 High Street,Windsor</v>
          </cell>
          <cell r="F226" t="str">
            <v>Melbourne</v>
          </cell>
          <cell r="G226" t="str">
            <v>VIC</v>
          </cell>
          <cell r="H226" t="str">
            <v>Small Business</v>
          </cell>
          <cell r="I226" t="str">
            <v>Connor Betts</v>
          </cell>
          <cell r="J226" t="str">
            <v>Low</v>
          </cell>
          <cell r="K226" t="str">
            <v>Artisan Legal 4-Ring Binder</v>
          </cell>
          <cell r="L226" t="str">
            <v>Office Supplies</v>
          </cell>
          <cell r="M226" t="str">
            <v>Small Box</v>
          </cell>
          <cell r="N226" t="str">
            <v>Regular Air</v>
          </cell>
          <cell r="O226">
            <v>41638</v>
          </cell>
          <cell r="P226">
            <v>13.64</v>
          </cell>
          <cell r="Q226">
            <v>20.98</v>
          </cell>
          <cell r="R226">
            <v>7.34</v>
          </cell>
          <cell r="S226">
            <v>23</v>
          </cell>
          <cell r="T226">
            <v>482.54</v>
          </cell>
          <cell r="V226">
            <v>14.4762</v>
          </cell>
          <cell r="W226">
            <v>468.06380000000001</v>
          </cell>
          <cell r="X226">
            <v>1.49</v>
          </cell>
          <cell r="Y226">
            <v>469.55380000000002</v>
          </cell>
        </row>
        <row r="227">
          <cell r="A227" t="str">
            <v>5358-1</v>
          </cell>
          <cell r="B227">
            <v>41643</v>
          </cell>
          <cell r="C227" t="str">
            <v>2014</v>
          </cell>
          <cell r="D227" t="str">
            <v>Saphhira Shifley</v>
          </cell>
          <cell r="E227" t="str">
            <v>Westfield Miranda, 600 Kingsway,Miranda</v>
          </cell>
          <cell r="F227" t="str">
            <v>Sydney</v>
          </cell>
          <cell r="G227" t="str">
            <v>NSW</v>
          </cell>
          <cell r="H227" t="str">
            <v>Consumer</v>
          </cell>
          <cell r="I227" t="str">
            <v>Preston Senome</v>
          </cell>
          <cell r="J227" t="str">
            <v>Critical</v>
          </cell>
          <cell r="K227" t="str">
            <v>Artisan Heavy-Duty EZD  Binder With Locking Rings</v>
          </cell>
          <cell r="L227" t="str">
            <v>Office Supplies</v>
          </cell>
          <cell r="M227" t="str">
            <v>Small Box</v>
          </cell>
          <cell r="N227" t="str">
            <v>Regular Air</v>
          </cell>
          <cell r="O227">
            <v>41645</v>
          </cell>
          <cell r="P227">
            <v>3.52</v>
          </cell>
          <cell r="Q227">
            <v>5.58</v>
          </cell>
          <cell r="R227">
            <v>2.06</v>
          </cell>
          <cell r="S227">
            <v>49</v>
          </cell>
          <cell r="T227">
            <v>273.42</v>
          </cell>
          <cell r="V227">
            <v>5.4684000000000008</v>
          </cell>
          <cell r="W227">
            <v>267.95160000000004</v>
          </cell>
          <cell r="X227">
            <v>2.99</v>
          </cell>
          <cell r="Y227">
            <v>270.94160000000005</v>
          </cell>
        </row>
        <row r="228">
          <cell r="A228" t="str">
            <v>5358-2</v>
          </cell>
          <cell r="B228">
            <v>41643</v>
          </cell>
          <cell r="C228" t="str">
            <v>2014</v>
          </cell>
          <cell r="D228" t="str">
            <v>Saphhira Shifley</v>
          </cell>
          <cell r="E228" t="str">
            <v>Westfield Miranda, 600 Kingsway,Miranda</v>
          </cell>
          <cell r="F228" t="str">
            <v>Sydney</v>
          </cell>
          <cell r="G228" t="str">
            <v>NSW</v>
          </cell>
          <cell r="H228" t="str">
            <v>Consumer</v>
          </cell>
          <cell r="I228" t="str">
            <v>Preston Senome</v>
          </cell>
          <cell r="J228" t="str">
            <v>Critical</v>
          </cell>
          <cell r="K228" t="str">
            <v>Desktop 3-Pocket Hot File</v>
          </cell>
          <cell r="L228" t="str">
            <v>Office Supplies</v>
          </cell>
          <cell r="M228" t="str">
            <v>Small Box</v>
          </cell>
          <cell r="N228" t="str">
            <v>Regular Air</v>
          </cell>
          <cell r="O228">
            <v>41644</v>
          </cell>
          <cell r="P228">
            <v>22.18</v>
          </cell>
          <cell r="Q228">
            <v>54.1</v>
          </cell>
          <cell r="R228">
            <v>31.92</v>
          </cell>
          <cell r="S228">
            <v>42</v>
          </cell>
          <cell r="T228">
            <v>2272.2000000000003</v>
          </cell>
          <cell r="V228">
            <v>45.44400000000001</v>
          </cell>
          <cell r="W228">
            <v>2226.7560000000003</v>
          </cell>
          <cell r="X228">
            <v>19.989999999999998</v>
          </cell>
          <cell r="Y228">
            <v>2246.7460000000001</v>
          </cell>
        </row>
        <row r="229">
          <cell r="A229" t="str">
            <v>5360-1</v>
          </cell>
          <cell r="B229">
            <v>41646</v>
          </cell>
          <cell r="C229" t="str">
            <v>2014</v>
          </cell>
          <cell r="D229" t="str">
            <v>Philip Fox</v>
          </cell>
          <cell r="E229" t="str">
            <v>73 York St,Sydney</v>
          </cell>
          <cell r="F229" t="str">
            <v>Sydney</v>
          </cell>
          <cell r="G229" t="str">
            <v>NSW</v>
          </cell>
          <cell r="H229" t="str">
            <v>Home Office</v>
          </cell>
          <cell r="I229" t="str">
            <v>Tina Carlton</v>
          </cell>
          <cell r="J229" t="str">
            <v>High</v>
          </cell>
          <cell r="K229" t="str">
            <v>Economy Rollaway Files</v>
          </cell>
          <cell r="L229" t="str">
            <v>Office Supplies</v>
          </cell>
          <cell r="M229" t="str">
            <v>Small Box</v>
          </cell>
          <cell r="N229" t="str">
            <v>Regular Air</v>
          </cell>
          <cell r="O229">
            <v>41646</v>
          </cell>
          <cell r="P229">
            <v>67.73</v>
          </cell>
          <cell r="Q229">
            <v>165.2</v>
          </cell>
          <cell r="R229">
            <v>97.469999999999985</v>
          </cell>
          <cell r="S229">
            <v>49</v>
          </cell>
          <cell r="T229">
            <v>8094.7999999999993</v>
          </cell>
          <cell r="V229">
            <v>404.74</v>
          </cell>
          <cell r="W229">
            <v>7690.0599999999995</v>
          </cell>
          <cell r="X229">
            <v>19.989999999999998</v>
          </cell>
          <cell r="Y229">
            <v>7710.0499999999993</v>
          </cell>
        </row>
        <row r="230">
          <cell r="A230" t="str">
            <v>5362-1</v>
          </cell>
          <cell r="B230">
            <v>41646</v>
          </cell>
          <cell r="C230" t="str">
            <v>2014</v>
          </cell>
          <cell r="D230" t="str">
            <v>Charlotte Melton</v>
          </cell>
          <cell r="E230" t="str">
            <v>211/25-29 Dixon St,Haymarket</v>
          </cell>
          <cell r="F230" t="str">
            <v>Sydney</v>
          </cell>
          <cell r="G230" t="str">
            <v>NSW</v>
          </cell>
          <cell r="H230" t="str">
            <v>Home Office</v>
          </cell>
          <cell r="I230" t="str">
            <v>Preston Senome</v>
          </cell>
          <cell r="J230" t="str">
            <v>Medium</v>
          </cell>
          <cell r="K230" t="str">
            <v>Smiths Bulldog Clip</v>
          </cell>
          <cell r="L230" t="str">
            <v>Office Supplies</v>
          </cell>
          <cell r="M230" t="str">
            <v>Wrap Bag</v>
          </cell>
          <cell r="N230" t="str">
            <v>Regular Air</v>
          </cell>
          <cell r="O230">
            <v>41647</v>
          </cell>
          <cell r="P230">
            <v>2.31</v>
          </cell>
          <cell r="Q230">
            <v>3.78</v>
          </cell>
          <cell r="R230">
            <v>1.4699999999999998</v>
          </cell>
          <cell r="S230">
            <v>47</v>
          </cell>
          <cell r="T230">
            <v>177.66</v>
          </cell>
          <cell r="V230">
            <v>3.5531999999999999</v>
          </cell>
          <cell r="W230">
            <v>174.10679999999999</v>
          </cell>
          <cell r="X230">
            <v>0.71</v>
          </cell>
          <cell r="Y230">
            <v>174.8168</v>
          </cell>
        </row>
        <row r="231">
          <cell r="A231" t="str">
            <v>5364-1</v>
          </cell>
          <cell r="B231">
            <v>41647</v>
          </cell>
          <cell r="C231" t="str">
            <v>2014</v>
          </cell>
          <cell r="D231" t="str">
            <v>Dionis Lloyd</v>
          </cell>
          <cell r="E231" t="str">
            <v>85-113 Dunning Ave,Rosebery</v>
          </cell>
          <cell r="F231" t="str">
            <v>Sydney</v>
          </cell>
          <cell r="G231" t="str">
            <v>NSW</v>
          </cell>
          <cell r="H231" t="str">
            <v>Small Business</v>
          </cell>
          <cell r="I231" t="str">
            <v>Mihael Khan</v>
          </cell>
          <cell r="J231" t="str">
            <v>Low</v>
          </cell>
          <cell r="K231" t="str">
            <v>Artisan Flip-Chart Easel Binder, Black</v>
          </cell>
          <cell r="L231" t="str">
            <v>Office Supplies</v>
          </cell>
          <cell r="M231" t="str">
            <v>Small Box</v>
          </cell>
          <cell r="N231" t="str">
            <v>Regular Air</v>
          </cell>
          <cell r="O231">
            <v>41654</v>
          </cell>
          <cell r="P231">
            <v>13.88</v>
          </cell>
          <cell r="Q231">
            <v>22.38</v>
          </cell>
          <cell r="R231">
            <v>8.4999999999999982</v>
          </cell>
          <cell r="S231">
            <v>21</v>
          </cell>
          <cell r="T231">
            <v>469.97999999999996</v>
          </cell>
          <cell r="V231">
            <v>18.799199999999999</v>
          </cell>
          <cell r="W231">
            <v>451.18079999999998</v>
          </cell>
          <cell r="X231">
            <v>15.1</v>
          </cell>
          <cell r="Y231">
            <v>466.2808</v>
          </cell>
        </row>
        <row r="232">
          <cell r="A232" t="str">
            <v>5365-1</v>
          </cell>
          <cell r="B232">
            <v>41647</v>
          </cell>
          <cell r="C232" t="str">
            <v>2014</v>
          </cell>
          <cell r="D232" t="str">
            <v>Sean ODonnell</v>
          </cell>
          <cell r="E232" t="str">
            <v>541 Church St ,Richmond</v>
          </cell>
          <cell r="F232" t="str">
            <v>Melbourne</v>
          </cell>
          <cell r="G232" t="str">
            <v>VIC</v>
          </cell>
          <cell r="H232" t="str">
            <v>Corporate</v>
          </cell>
          <cell r="I232" t="str">
            <v>Yvette Biti</v>
          </cell>
          <cell r="J232" t="str">
            <v>Low</v>
          </cell>
          <cell r="K232" t="str">
            <v>Steady Colorific Colored Pencils, 12/Box</v>
          </cell>
          <cell r="L232" t="str">
            <v>Office Supplies</v>
          </cell>
          <cell r="M232" t="str">
            <v>Wrap Bag</v>
          </cell>
          <cell r="N232" t="str">
            <v>Regular Air</v>
          </cell>
          <cell r="O232">
            <v>41651</v>
          </cell>
          <cell r="P232">
            <v>1.3</v>
          </cell>
          <cell r="Q232">
            <v>2.88</v>
          </cell>
          <cell r="R232">
            <v>1.5799999999999998</v>
          </cell>
          <cell r="S232">
            <v>46</v>
          </cell>
          <cell r="T232">
            <v>132.47999999999999</v>
          </cell>
          <cell r="V232">
            <v>5.2991999999999999</v>
          </cell>
          <cell r="W232">
            <v>127.18079999999999</v>
          </cell>
          <cell r="X232">
            <v>1.01</v>
          </cell>
          <cell r="Y232">
            <v>128.1908</v>
          </cell>
        </row>
        <row r="233">
          <cell r="A233" t="str">
            <v>5367-1</v>
          </cell>
          <cell r="B233">
            <v>41649</v>
          </cell>
          <cell r="C233" t="str">
            <v>2014</v>
          </cell>
          <cell r="D233" t="str">
            <v>Anne Pryor</v>
          </cell>
          <cell r="E233" t="str">
            <v>101 Murray Street, Perth</v>
          </cell>
          <cell r="F233" t="str">
            <v>Sydney</v>
          </cell>
          <cell r="G233" t="str">
            <v>NSW</v>
          </cell>
          <cell r="H233" t="str">
            <v>Home Office</v>
          </cell>
          <cell r="I233" t="str">
            <v>Aanya Zhang</v>
          </cell>
          <cell r="J233" t="str">
            <v>Medium</v>
          </cell>
          <cell r="K233" t="str">
            <v>3Max Organizer Strips</v>
          </cell>
          <cell r="L233" t="str">
            <v>Office Supplies</v>
          </cell>
          <cell r="M233" t="str">
            <v>Small Box</v>
          </cell>
          <cell r="N233" t="str">
            <v>Express Air</v>
          </cell>
          <cell r="O233">
            <v>41649</v>
          </cell>
          <cell r="P233">
            <v>3.4</v>
          </cell>
          <cell r="Q233">
            <v>5.4</v>
          </cell>
          <cell r="R233">
            <v>2.0000000000000004</v>
          </cell>
          <cell r="S233">
            <v>9</v>
          </cell>
          <cell r="T233">
            <v>48.6</v>
          </cell>
          <cell r="V233">
            <v>4.3739999999999997</v>
          </cell>
          <cell r="W233">
            <v>44.225999999999999</v>
          </cell>
          <cell r="X233">
            <v>7.78</v>
          </cell>
          <cell r="Y233">
            <v>52.006</v>
          </cell>
        </row>
        <row r="234">
          <cell r="A234" t="str">
            <v>5367-2</v>
          </cell>
          <cell r="B234">
            <v>41649</v>
          </cell>
          <cell r="C234" t="str">
            <v>2014</v>
          </cell>
          <cell r="D234" t="str">
            <v>Anne Pryor</v>
          </cell>
          <cell r="E234" t="str">
            <v>101 Murray Street, Perth</v>
          </cell>
          <cell r="F234" t="str">
            <v>Sydney</v>
          </cell>
          <cell r="G234" t="str">
            <v>NSW</v>
          </cell>
          <cell r="H234" t="str">
            <v>Home Office</v>
          </cell>
          <cell r="I234" t="str">
            <v>Aanya Zhang</v>
          </cell>
          <cell r="J234" t="str">
            <v>Medium</v>
          </cell>
          <cell r="K234" t="str">
            <v>Office Shears by Apex</v>
          </cell>
          <cell r="L234" t="str">
            <v>Office Supplies</v>
          </cell>
          <cell r="M234" t="str">
            <v>Small Pack</v>
          </cell>
          <cell r="N234" t="str">
            <v>Regular Air</v>
          </cell>
          <cell r="O234">
            <v>41650</v>
          </cell>
          <cell r="P234">
            <v>0.94</v>
          </cell>
          <cell r="Q234">
            <v>2.08</v>
          </cell>
          <cell r="R234">
            <v>1.1400000000000001</v>
          </cell>
          <cell r="S234">
            <v>43</v>
          </cell>
          <cell r="T234">
            <v>89.44</v>
          </cell>
          <cell r="V234">
            <v>4.4720000000000004</v>
          </cell>
          <cell r="W234">
            <v>84.968000000000004</v>
          </cell>
          <cell r="X234">
            <v>2.56</v>
          </cell>
          <cell r="Y234">
            <v>87.528000000000006</v>
          </cell>
        </row>
        <row r="235">
          <cell r="A235" t="str">
            <v>5369-1</v>
          </cell>
          <cell r="B235">
            <v>41649</v>
          </cell>
          <cell r="C235" t="str">
            <v>2014</v>
          </cell>
          <cell r="D235" t="str">
            <v>Nick Zandusky</v>
          </cell>
          <cell r="E235" t="str">
            <v>224A Gertrude St,Fitzroy</v>
          </cell>
          <cell r="F235" t="str">
            <v>Melbourne</v>
          </cell>
          <cell r="G235" t="str">
            <v>VIC</v>
          </cell>
          <cell r="H235" t="str">
            <v>Small Business</v>
          </cell>
          <cell r="I235" t="str">
            <v>Connor Betts</v>
          </cell>
          <cell r="J235" t="str">
            <v>Not Specified</v>
          </cell>
          <cell r="K235" t="str">
            <v>3Max Polarizing Task Lamp with Clamp Arm, Light Gray</v>
          </cell>
          <cell r="L235" t="str">
            <v>Furniture</v>
          </cell>
          <cell r="M235" t="str">
            <v>Large Box</v>
          </cell>
          <cell r="N235" t="str">
            <v>Express Air</v>
          </cell>
          <cell r="O235">
            <v>41650</v>
          </cell>
          <cell r="P235">
            <v>56.16</v>
          </cell>
          <cell r="Q235">
            <v>136.97999999999999</v>
          </cell>
          <cell r="R235">
            <v>80.819999999999993</v>
          </cell>
          <cell r="S235">
            <v>18</v>
          </cell>
          <cell r="T235">
            <v>2465.64</v>
          </cell>
          <cell r="V235">
            <v>49.312799999999996</v>
          </cell>
          <cell r="W235">
            <v>2416.3271999999997</v>
          </cell>
          <cell r="X235">
            <v>24.49</v>
          </cell>
          <cell r="Y235">
            <v>2440.8171999999995</v>
          </cell>
        </row>
        <row r="236">
          <cell r="A236" t="str">
            <v>5373-1</v>
          </cell>
          <cell r="B236">
            <v>41652</v>
          </cell>
          <cell r="C236" t="str">
            <v>2014</v>
          </cell>
          <cell r="D236" t="str">
            <v>Ashley Jarboe</v>
          </cell>
          <cell r="E236" t="str">
            <v>14 Knebworth Avenue, Perth</v>
          </cell>
          <cell r="F236" t="str">
            <v>Melbourne</v>
          </cell>
          <cell r="G236" t="str">
            <v>VIC</v>
          </cell>
          <cell r="H236" t="str">
            <v>Home Office</v>
          </cell>
          <cell r="I236" t="str">
            <v>Connor Betts</v>
          </cell>
          <cell r="J236" t="str">
            <v>Low</v>
          </cell>
          <cell r="K236" t="str">
            <v>TypeRight  Top-Opening Peel &amp; Seel  Envelopes, Gray</v>
          </cell>
          <cell r="L236" t="str">
            <v>Office Supplies</v>
          </cell>
          <cell r="M236" t="str">
            <v>Small Box</v>
          </cell>
          <cell r="N236" t="str">
            <v>Regular Air</v>
          </cell>
          <cell r="O236">
            <v>41657</v>
          </cell>
          <cell r="P236">
            <v>21.56</v>
          </cell>
          <cell r="Q236">
            <v>35.94</v>
          </cell>
          <cell r="R236">
            <v>14.379999999999999</v>
          </cell>
          <cell r="S236">
            <v>13</v>
          </cell>
          <cell r="T236">
            <v>467.21999999999997</v>
          </cell>
          <cell r="V236">
            <v>42.049799999999998</v>
          </cell>
          <cell r="W236">
            <v>425.17019999999997</v>
          </cell>
          <cell r="X236">
            <v>6.66</v>
          </cell>
          <cell r="Y236">
            <v>431.83019999999999</v>
          </cell>
        </row>
        <row r="237">
          <cell r="A237" t="str">
            <v>5375-1</v>
          </cell>
          <cell r="B237">
            <v>41653</v>
          </cell>
          <cell r="C237" t="str">
            <v>2014</v>
          </cell>
          <cell r="D237" t="str">
            <v>Nat Gilpin</v>
          </cell>
          <cell r="E237" t="str">
            <v>274 Canley Vale Rd,Canley Heights</v>
          </cell>
          <cell r="F237" t="str">
            <v>Sydney</v>
          </cell>
          <cell r="G237" t="str">
            <v>NSW</v>
          </cell>
          <cell r="H237" t="str">
            <v>Consumer</v>
          </cell>
          <cell r="I237" t="str">
            <v>Leighton Forrest</v>
          </cell>
          <cell r="J237" t="str">
            <v>Not Specified</v>
          </cell>
          <cell r="K237" t="str">
            <v>3Max Organizer Strips</v>
          </cell>
          <cell r="L237" t="str">
            <v>Office Supplies</v>
          </cell>
          <cell r="M237" t="str">
            <v>Small Box</v>
          </cell>
          <cell r="N237" t="str">
            <v>Express Air</v>
          </cell>
          <cell r="O237">
            <v>41655</v>
          </cell>
          <cell r="P237">
            <v>3.4</v>
          </cell>
          <cell r="Q237">
            <v>5.4</v>
          </cell>
          <cell r="R237">
            <v>2.0000000000000004</v>
          </cell>
          <cell r="S237">
            <v>14</v>
          </cell>
          <cell r="T237">
            <v>75.600000000000009</v>
          </cell>
          <cell r="V237">
            <v>6.8040000000000003</v>
          </cell>
          <cell r="W237">
            <v>68.796000000000006</v>
          </cell>
          <cell r="X237">
            <v>7.78</v>
          </cell>
          <cell r="Y237">
            <v>76.576000000000008</v>
          </cell>
        </row>
        <row r="238">
          <cell r="A238" t="str">
            <v>5377-1</v>
          </cell>
          <cell r="B238">
            <v>41653</v>
          </cell>
          <cell r="C238" t="str">
            <v>2014</v>
          </cell>
          <cell r="D238" t="str">
            <v>Fred Wasserman</v>
          </cell>
          <cell r="E238" t="str">
            <v>61 York St,Sydney</v>
          </cell>
          <cell r="F238" t="str">
            <v>Sydney</v>
          </cell>
          <cell r="G238" t="str">
            <v>NSW</v>
          </cell>
          <cell r="H238" t="str">
            <v>Home Office</v>
          </cell>
          <cell r="I238" t="str">
            <v>Leighton Forrest</v>
          </cell>
          <cell r="J238" t="str">
            <v>Not Specified</v>
          </cell>
          <cell r="K238" t="str">
            <v>Fluorescent Highlighters by DrawIt</v>
          </cell>
          <cell r="L238" t="str">
            <v>Office Supplies</v>
          </cell>
          <cell r="M238" t="str">
            <v>Wrap Bag</v>
          </cell>
          <cell r="N238" t="str">
            <v>Regular Air</v>
          </cell>
          <cell r="O238">
            <v>41656</v>
          </cell>
          <cell r="P238">
            <v>1.95</v>
          </cell>
          <cell r="Q238">
            <v>3.98</v>
          </cell>
          <cell r="R238">
            <v>2.0300000000000002</v>
          </cell>
          <cell r="S238">
            <v>41</v>
          </cell>
          <cell r="T238">
            <v>163.18</v>
          </cell>
          <cell r="V238">
            <v>11.422600000000001</v>
          </cell>
          <cell r="W238">
            <v>151.75740000000002</v>
          </cell>
          <cell r="X238">
            <v>0.83</v>
          </cell>
          <cell r="Y238">
            <v>152.58740000000003</v>
          </cell>
        </row>
        <row r="239">
          <cell r="A239" t="str">
            <v>5379-1</v>
          </cell>
          <cell r="B239">
            <v>41654</v>
          </cell>
          <cell r="C239" t="str">
            <v>2014</v>
          </cell>
          <cell r="D239" t="str">
            <v>Aleksandra Gannaway</v>
          </cell>
          <cell r="E239" t="str">
            <v>508/130 Mounts Bay Road, Perth</v>
          </cell>
          <cell r="F239" t="str">
            <v>Perth</v>
          </cell>
          <cell r="G239" t="str">
            <v>WA</v>
          </cell>
          <cell r="H239" t="str">
            <v>Corporate</v>
          </cell>
          <cell r="I239" t="str">
            <v>Tina Carlton</v>
          </cell>
          <cell r="J239" t="str">
            <v>Medium</v>
          </cell>
          <cell r="K239" t="str">
            <v>Apex Straight Scissors</v>
          </cell>
          <cell r="L239" t="str">
            <v>Office Supplies</v>
          </cell>
          <cell r="M239" t="str">
            <v>Small Pack</v>
          </cell>
          <cell r="N239" t="str">
            <v>Express Air</v>
          </cell>
          <cell r="O239">
            <v>41656</v>
          </cell>
          <cell r="P239">
            <v>5.19</v>
          </cell>
          <cell r="Q239">
            <v>12.98</v>
          </cell>
          <cell r="R239">
            <v>7.79</v>
          </cell>
          <cell r="S239">
            <v>34</v>
          </cell>
          <cell r="T239">
            <v>441.32</v>
          </cell>
          <cell r="V239">
            <v>17.652799999999999</v>
          </cell>
          <cell r="W239">
            <v>423.66719999999998</v>
          </cell>
          <cell r="X239">
            <v>3.14</v>
          </cell>
          <cell r="Y239">
            <v>426.80719999999997</v>
          </cell>
        </row>
        <row r="240">
          <cell r="A240" t="str">
            <v>5381-1</v>
          </cell>
          <cell r="B240">
            <v>41654</v>
          </cell>
          <cell r="C240" t="str">
            <v>2014</v>
          </cell>
          <cell r="D240" t="str">
            <v>Sanjit Engle</v>
          </cell>
          <cell r="E240" t="str">
            <v>12 Princess Hwy,Sylvania</v>
          </cell>
          <cell r="F240" t="str">
            <v>Sydney</v>
          </cell>
          <cell r="G240" t="str">
            <v>NSW</v>
          </cell>
          <cell r="H240" t="str">
            <v>Home Office</v>
          </cell>
          <cell r="I240" t="str">
            <v>Nicholas Fernandes</v>
          </cell>
          <cell r="J240" t="str">
            <v>Medium</v>
          </cell>
          <cell r="K240" t="str">
            <v>Emerson LQ-870 Dot Matrix Printer</v>
          </cell>
          <cell r="L240" t="str">
            <v>Technology</v>
          </cell>
          <cell r="M240" t="str">
            <v>Jumbo Drum</v>
          </cell>
          <cell r="N240" t="str">
            <v>Delivery Truck</v>
          </cell>
          <cell r="O240">
            <v>41656</v>
          </cell>
          <cell r="P240">
            <v>219.61</v>
          </cell>
          <cell r="Q240">
            <v>535.64</v>
          </cell>
          <cell r="R240">
            <v>316.02999999999997</v>
          </cell>
          <cell r="S240">
            <v>1</v>
          </cell>
          <cell r="T240">
            <v>535.64</v>
          </cell>
          <cell r="V240">
            <v>26.782</v>
          </cell>
          <cell r="W240">
            <v>508.858</v>
          </cell>
          <cell r="X240">
            <v>14.7</v>
          </cell>
          <cell r="Y240">
            <v>523.55799999999999</v>
          </cell>
        </row>
        <row r="241">
          <cell r="A241" t="str">
            <v>5383-1</v>
          </cell>
          <cell r="B241">
            <v>41656</v>
          </cell>
          <cell r="C241" t="str">
            <v>2014</v>
          </cell>
          <cell r="D241" t="str">
            <v>Patrick OBrill</v>
          </cell>
          <cell r="E241" t="str">
            <v>27/580 Hay Street</v>
          </cell>
          <cell r="F241" t="str">
            <v>Perth</v>
          </cell>
          <cell r="G241" t="str">
            <v>WA</v>
          </cell>
          <cell r="H241" t="str">
            <v>Home Office</v>
          </cell>
          <cell r="I241" t="str">
            <v>Tina Carlton</v>
          </cell>
          <cell r="J241" t="str">
            <v>Critical</v>
          </cell>
          <cell r="K241" t="str">
            <v>Artisan 48 Labels</v>
          </cell>
          <cell r="L241" t="str">
            <v>Office Supplies</v>
          </cell>
          <cell r="M241" t="str">
            <v>Small Box</v>
          </cell>
          <cell r="N241" t="str">
            <v>Regular Air</v>
          </cell>
          <cell r="O241">
            <v>41658</v>
          </cell>
          <cell r="P241">
            <v>3.84</v>
          </cell>
          <cell r="Q241">
            <v>6.3</v>
          </cell>
          <cell r="R241">
            <v>2.46</v>
          </cell>
          <cell r="S241">
            <v>32</v>
          </cell>
          <cell r="T241">
            <v>201.6</v>
          </cell>
          <cell r="V241">
            <v>8.0640000000000001</v>
          </cell>
          <cell r="W241">
            <v>193.536</v>
          </cell>
          <cell r="X241">
            <v>0.5</v>
          </cell>
          <cell r="Y241">
            <v>194.036</v>
          </cell>
        </row>
        <row r="242">
          <cell r="A242" t="str">
            <v>5384-1</v>
          </cell>
          <cell r="B242">
            <v>41662</v>
          </cell>
          <cell r="C242" t="str">
            <v>2014</v>
          </cell>
          <cell r="D242" t="str">
            <v>Mark Van Huff</v>
          </cell>
          <cell r="E242" t="str">
            <v>1 John Street,Waterloo</v>
          </cell>
          <cell r="F242" t="str">
            <v>Sydney</v>
          </cell>
          <cell r="G242" t="str">
            <v>NSW</v>
          </cell>
          <cell r="H242" t="str">
            <v>Home Office</v>
          </cell>
          <cell r="I242" t="str">
            <v>Charlie Bui</v>
          </cell>
          <cell r="J242" t="str">
            <v>Not Specified</v>
          </cell>
          <cell r="K242" t="str">
            <v>Binder Clips by OIC</v>
          </cell>
          <cell r="L242" t="str">
            <v>Office Supplies</v>
          </cell>
          <cell r="M242" t="str">
            <v>Wrap Bag</v>
          </cell>
          <cell r="N242" t="str">
            <v>Regular Air</v>
          </cell>
          <cell r="O242">
            <v>41664</v>
          </cell>
          <cell r="P242">
            <v>0.93</v>
          </cell>
          <cell r="Q242">
            <v>1.48</v>
          </cell>
          <cell r="R242">
            <v>0.54999999999999993</v>
          </cell>
          <cell r="S242">
            <v>27</v>
          </cell>
          <cell r="T242">
            <v>39.96</v>
          </cell>
          <cell r="V242">
            <v>0</v>
          </cell>
          <cell r="W242">
            <v>39.96</v>
          </cell>
          <cell r="X242">
            <v>0.7</v>
          </cell>
          <cell r="Y242">
            <v>40.660000000000004</v>
          </cell>
        </row>
        <row r="243">
          <cell r="A243" t="str">
            <v>5386-1</v>
          </cell>
          <cell r="B243">
            <v>41663</v>
          </cell>
          <cell r="C243" t="str">
            <v>2014</v>
          </cell>
          <cell r="D243" t="str">
            <v>Helen Andreada</v>
          </cell>
          <cell r="E243" t="str">
            <v>470 Anzac Parade,Kingsford</v>
          </cell>
          <cell r="F243" t="str">
            <v>Sydney</v>
          </cell>
          <cell r="G243" t="str">
            <v>NSW</v>
          </cell>
          <cell r="H243" t="str">
            <v>Corporate</v>
          </cell>
          <cell r="I243" t="str">
            <v>Tina Carlton</v>
          </cell>
          <cell r="J243" t="str">
            <v>High</v>
          </cell>
          <cell r="K243" t="str">
            <v>Emerson C82 Color Inkjet Printer</v>
          </cell>
          <cell r="L243" t="str">
            <v>Technology</v>
          </cell>
          <cell r="M243" t="str">
            <v>Jumbo Drum</v>
          </cell>
          <cell r="N243" t="str">
            <v>Delivery Truck</v>
          </cell>
          <cell r="O243">
            <v>41665</v>
          </cell>
          <cell r="P243">
            <v>76.790000000000006</v>
          </cell>
          <cell r="Q243">
            <v>119.99</v>
          </cell>
          <cell r="R243">
            <v>43.199999999999989</v>
          </cell>
          <cell r="S243">
            <v>13</v>
          </cell>
          <cell r="T243">
            <v>1559.87</v>
          </cell>
          <cell r="V243">
            <v>62.394799999999996</v>
          </cell>
          <cell r="W243">
            <v>1497.4751999999999</v>
          </cell>
          <cell r="X243">
            <v>14</v>
          </cell>
          <cell r="Y243">
            <v>1511.4751999999999</v>
          </cell>
        </row>
        <row r="244">
          <cell r="A244" t="str">
            <v>5388-1</v>
          </cell>
          <cell r="B244">
            <v>41664</v>
          </cell>
          <cell r="C244" t="str">
            <v>2014</v>
          </cell>
          <cell r="D244" t="str">
            <v>Darrin Van Huff</v>
          </cell>
          <cell r="E244" t="str">
            <v>53-55 Liverpool St,Sydney</v>
          </cell>
          <cell r="F244" t="str">
            <v>Sydney</v>
          </cell>
          <cell r="G244" t="str">
            <v>NSW</v>
          </cell>
          <cell r="H244" t="str">
            <v>Home Office</v>
          </cell>
          <cell r="I244" t="str">
            <v>Tina Carlton</v>
          </cell>
          <cell r="J244" t="str">
            <v>Medium</v>
          </cell>
          <cell r="K244" t="str">
            <v>12 Colored Short Pencils</v>
          </cell>
          <cell r="L244" t="str">
            <v>Office Supplies</v>
          </cell>
          <cell r="M244" t="str">
            <v>Wrap Bag</v>
          </cell>
          <cell r="N244" t="str">
            <v>Regular Air</v>
          </cell>
          <cell r="O244">
            <v>41666</v>
          </cell>
          <cell r="P244">
            <v>1.0900000000000001</v>
          </cell>
          <cell r="Q244">
            <v>2.6</v>
          </cell>
          <cell r="R244">
            <v>1.51</v>
          </cell>
          <cell r="S244">
            <v>27</v>
          </cell>
          <cell r="T244">
            <v>70.2</v>
          </cell>
          <cell r="V244">
            <v>6.3179999999999996</v>
          </cell>
          <cell r="W244">
            <v>63.882000000000005</v>
          </cell>
          <cell r="X244">
            <v>2.4</v>
          </cell>
          <cell r="Y244">
            <v>66.282000000000011</v>
          </cell>
        </row>
        <row r="245">
          <cell r="A245" t="str">
            <v>5389-1</v>
          </cell>
          <cell r="B245">
            <v>41665</v>
          </cell>
          <cell r="C245" t="str">
            <v>2014</v>
          </cell>
          <cell r="D245" t="str">
            <v>Sarah Jordon</v>
          </cell>
          <cell r="E245" t="str">
            <v>180 High Street,Windsor</v>
          </cell>
          <cell r="F245" t="str">
            <v>Melbourne</v>
          </cell>
          <cell r="G245" t="str">
            <v>VIC</v>
          </cell>
          <cell r="H245" t="str">
            <v>Consumer</v>
          </cell>
          <cell r="I245" t="str">
            <v>Connor Betts</v>
          </cell>
          <cell r="J245" t="str">
            <v>Low</v>
          </cell>
          <cell r="K245" t="str">
            <v>Aluminum Document Frame</v>
          </cell>
          <cell r="L245" t="str">
            <v>Furniture</v>
          </cell>
          <cell r="M245" t="str">
            <v>Small Pack</v>
          </cell>
          <cell r="N245" t="str">
            <v>Regular Air</v>
          </cell>
          <cell r="O245">
            <v>41672</v>
          </cell>
          <cell r="P245">
            <v>5.5</v>
          </cell>
          <cell r="Q245">
            <v>12.22</v>
          </cell>
          <cell r="R245">
            <v>6.7200000000000006</v>
          </cell>
          <cell r="S245">
            <v>19</v>
          </cell>
          <cell r="T245">
            <v>232.18</v>
          </cell>
          <cell r="V245">
            <v>20.8962</v>
          </cell>
          <cell r="W245">
            <v>211.28380000000001</v>
          </cell>
          <cell r="X245">
            <v>2.85</v>
          </cell>
          <cell r="Y245">
            <v>214.13380000000001</v>
          </cell>
        </row>
        <row r="246">
          <cell r="A246" t="str">
            <v>5391-1</v>
          </cell>
          <cell r="B246">
            <v>41665</v>
          </cell>
          <cell r="C246" t="str">
            <v>2014</v>
          </cell>
          <cell r="D246" t="str">
            <v>Bill Eplett</v>
          </cell>
          <cell r="E246" t="str">
            <v>18 Robinson Avenue, Perth</v>
          </cell>
          <cell r="F246" t="str">
            <v>Sydney</v>
          </cell>
          <cell r="G246" t="str">
            <v>NSW</v>
          </cell>
          <cell r="H246" t="str">
            <v>Corporate</v>
          </cell>
          <cell r="I246" t="str">
            <v>Tina Carlton</v>
          </cell>
          <cell r="J246" t="str">
            <v>Critical</v>
          </cell>
          <cell r="K246" t="str">
            <v>TechSavi Access Keyboard</v>
          </cell>
          <cell r="L246" t="str">
            <v>Technology</v>
          </cell>
          <cell r="M246" t="str">
            <v>Small Box</v>
          </cell>
          <cell r="N246" t="str">
            <v>Regular Air</v>
          </cell>
          <cell r="O246">
            <v>41666</v>
          </cell>
          <cell r="P246">
            <v>10.07</v>
          </cell>
          <cell r="Q246">
            <v>15.98</v>
          </cell>
          <cell r="R246">
            <v>5.91</v>
          </cell>
          <cell r="S246">
            <v>8</v>
          </cell>
          <cell r="T246">
            <v>127.84</v>
          </cell>
          <cell r="V246">
            <v>5.1135999999999999</v>
          </cell>
          <cell r="W246">
            <v>122.7264</v>
          </cell>
          <cell r="X246">
            <v>4</v>
          </cell>
          <cell r="Y246">
            <v>126.7264</v>
          </cell>
        </row>
        <row r="247">
          <cell r="A247" t="str">
            <v>5392-1</v>
          </cell>
          <cell r="B247">
            <v>41666</v>
          </cell>
          <cell r="C247" t="str">
            <v>2014</v>
          </cell>
          <cell r="D247" t="str">
            <v>Ken Lonsdale</v>
          </cell>
          <cell r="E247" t="str">
            <v>99 Lygon Street,East Brunswick</v>
          </cell>
          <cell r="F247" t="str">
            <v>Melbourne</v>
          </cell>
          <cell r="G247" t="str">
            <v>VIC</v>
          </cell>
          <cell r="H247" t="str">
            <v>Consumer</v>
          </cell>
          <cell r="I247" t="str">
            <v>Connor Betts</v>
          </cell>
          <cell r="J247" t="str">
            <v>High</v>
          </cell>
          <cell r="K247" t="str">
            <v>Artisan Printable Repositionable Plastic Tabs</v>
          </cell>
          <cell r="L247" t="str">
            <v>Office Supplies</v>
          </cell>
          <cell r="M247" t="str">
            <v>Small Box</v>
          </cell>
          <cell r="N247" t="str">
            <v>Regular Air</v>
          </cell>
          <cell r="O247">
            <v>41666</v>
          </cell>
          <cell r="P247">
            <v>5.33</v>
          </cell>
          <cell r="Q247">
            <v>8.6</v>
          </cell>
          <cell r="R247">
            <v>3.2699999999999996</v>
          </cell>
          <cell r="S247">
            <v>4</v>
          </cell>
          <cell r="T247">
            <v>34.4</v>
          </cell>
          <cell r="V247">
            <v>1.3759999999999999</v>
          </cell>
          <cell r="W247">
            <v>33.024000000000001</v>
          </cell>
          <cell r="X247">
            <v>6.19</v>
          </cell>
          <cell r="Y247">
            <v>39.213999999999999</v>
          </cell>
        </row>
        <row r="248">
          <cell r="A248" t="str">
            <v>5393-1</v>
          </cell>
          <cell r="B248">
            <v>41668</v>
          </cell>
          <cell r="C248" t="str">
            <v>2014</v>
          </cell>
          <cell r="D248" t="str">
            <v>Michael Nguyen</v>
          </cell>
          <cell r="E248" t="str">
            <v>48 Albion St,Surry Hills</v>
          </cell>
          <cell r="F248" t="str">
            <v>Sydney</v>
          </cell>
          <cell r="G248" t="str">
            <v>NSW</v>
          </cell>
          <cell r="H248" t="str">
            <v>Small Business</v>
          </cell>
          <cell r="I248" t="str">
            <v>Natasha Song</v>
          </cell>
          <cell r="J248" t="str">
            <v>High</v>
          </cell>
          <cell r="K248" t="str">
            <v>TypeRight Side-Opening Peel &amp; Seel Expanding Envelopes</v>
          </cell>
          <cell r="L248" t="str">
            <v>Office Supplies</v>
          </cell>
          <cell r="M248" t="str">
            <v>Small Box</v>
          </cell>
          <cell r="N248" t="str">
            <v>Regular Air</v>
          </cell>
          <cell r="O248">
            <v>41671</v>
          </cell>
          <cell r="P248">
            <v>54.29</v>
          </cell>
          <cell r="Q248">
            <v>90.48</v>
          </cell>
          <cell r="R248">
            <v>36.190000000000005</v>
          </cell>
          <cell r="S248">
            <v>27</v>
          </cell>
          <cell r="T248">
            <v>2442.96</v>
          </cell>
          <cell r="V248">
            <v>0</v>
          </cell>
          <cell r="W248">
            <v>2442.96</v>
          </cell>
          <cell r="X248">
            <v>19.989999999999998</v>
          </cell>
          <cell r="Y248">
            <v>2462.9499999999998</v>
          </cell>
        </row>
        <row r="249">
          <cell r="A249" t="str">
            <v>5394-1</v>
          </cell>
          <cell r="B249">
            <v>41669</v>
          </cell>
          <cell r="C249" t="str">
            <v>2014</v>
          </cell>
          <cell r="D249" t="str">
            <v>Hilary Holden</v>
          </cell>
          <cell r="E249" t="str">
            <v>2a/285A Crown St,Surry Hills</v>
          </cell>
          <cell r="F249" t="str">
            <v>Sydney</v>
          </cell>
          <cell r="G249" t="str">
            <v>NSW</v>
          </cell>
          <cell r="H249" t="str">
            <v>Corporate</v>
          </cell>
          <cell r="I249" t="str">
            <v>Phoebe Gour</v>
          </cell>
          <cell r="J249" t="str">
            <v>Critical</v>
          </cell>
          <cell r="K249" t="str">
            <v>Artisan Legal 4-Ring Binder</v>
          </cell>
          <cell r="L249" t="str">
            <v>Office Supplies</v>
          </cell>
          <cell r="M249" t="str">
            <v>Small Box</v>
          </cell>
          <cell r="N249" t="str">
            <v>Regular Air</v>
          </cell>
          <cell r="O249">
            <v>41671</v>
          </cell>
          <cell r="P249">
            <v>13.64</v>
          </cell>
          <cell r="Q249">
            <v>20.98</v>
          </cell>
          <cell r="R249">
            <v>7.34</v>
          </cell>
          <cell r="S249">
            <v>31</v>
          </cell>
          <cell r="T249">
            <v>650.38</v>
          </cell>
          <cell r="V249">
            <v>58.534199999999998</v>
          </cell>
          <cell r="W249">
            <v>591.84580000000005</v>
          </cell>
          <cell r="X249">
            <v>1.49</v>
          </cell>
          <cell r="Y249">
            <v>593.33580000000006</v>
          </cell>
        </row>
        <row r="250">
          <cell r="A250" t="str">
            <v>5395-1</v>
          </cell>
          <cell r="B250">
            <v>41669</v>
          </cell>
          <cell r="C250" t="str">
            <v>2014</v>
          </cell>
          <cell r="D250" t="str">
            <v>Brooke Gillingham</v>
          </cell>
          <cell r="E250" t="str">
            <v>21 Wentworth St,Parramatta</v>
          </cell>
          <cell r="F250" t="str">
            <v>Sydney</v>
          </cell>
          <cell r="G250" t="str">
            <v>NSW</v>
          </cell>
          <cell r="H250" t="str">
            <v>Small Business</v>
          </cell>
          <cell r="I250" t="str">
            <v>Aanya Zhang</v>
          </cell>
          <cell r="J250" t="str">
            <v>Medium</v>
          </cell>
          <cell r="K250" t="str">
            <v>Wirebound Message Book, 4 per Page</v>
          </cell>
          <cell r="L250" t="str">
            <v>Office Supplies</v>
          </cell>
          <cell r="M250" t="str">
            <v>Wrap Bag</v>
          </cell>
          <cell r="N250" t="str">
            <v>Regular Air</v>
          </cell>
          <cell r="O250">
            <v>41671</v>
          </cell>
          <cell r="P250">
            <v>3.48</v>
          </cell>
          <cell r="Q250">
            <v>5.43</v>
          </cell>
          <cell r="R250">
            <v>1.9499999999999997</v>
          </cell>
          <cell r="S250">
            <v>2</v>
          </cell>
          <cell r="T250">
            <v>10.86</v>
          </cell>
          <cell r="V250">
            <v>1.0860000000000001</v>
          </cell>
          <cell r="W250">
            <v>9.7739999999999991</v>
          </cell>
          <cell r="X250">
            <v>0.95</v>
          </cell>
          <cell r="Y250">
            <v>10.723999999999998</v>
          </cell>
        </row>
        <row r="251">
          <cell r="A251" t="str">
            <v>5396-1</v>
          </cell>
          <cell r="B251">
            <v>41672</v>
          </cell>
          <cell r="C251" t="str">
            <v>2014</v>
          </cell>
          <cell r="D251" t="str">
            <v>Suzanne McNair</v>
          </cell>
          <cell r="E251" t="str">
            <v>Crown Complex,Southbank</v>
          </cell>
          <cell r="F251" t="str">
            <v>Melbourne</v>
          </cell>
          <cell r="G251" t="str">
            <v>VIC</v>
          </cell>
          <cell r="H251" t="str">
            <v>Small Business</v>
          </cell>
          <cell r="I251" t="str">
            <v>Connor Betts</v>
          </cell>
          <cell r="J251" t="str">
            <v>Low</v>
          </cell>
          <cell r="K251" t="str">
            <v>Colored Envelopes</v>
          </cell>
          <cell r="L251" t="str">
            <v>Office Supplies</v>
          </cell>
          <cell r="M251" t="str">
            <v>Small Box</v>
          </cell>
          <cell r="N251" t="str">
            <v>Regular Air</v>
          </cell>
          <cell r="O251">
            <v>41677</v>
          </cell>
          <cell r="P251">
            <v>2.25</v>
          </cell>
          <cell r="Q251">
            <v>3.69</v>
          </cell>
          <cell r="R251">
            <v>1.44</v>
          </cell>
          <cell r="S251">
            <v>20</v>
          </cell>
          <cell r="T251">
            <v>73.8</v>
          </cell>
          <cell r="V251">
            <v>5.9039999999999999</v>
          </cell>
          <cell r="W251">
            <v>67.896000000000001</v>
          </cell>
          <cell r="X251">
            <v>2.5</v>
          </cell>
          <cell r="Y251">
            <v>70.396000000000001</v>
          </cell>
        </row>
        <row r="252">
          <cell r="A252" t="str">
            <v>5398-1</v>
          </cell>
          <cell r="B252">
            <v>41673</v>
          </cell>
          <cell r="C252" t="str">
            <v>2014</v>
          </cell>
          <cell r="D252" t="str">
            <v>Mathew Reese</v>
          </cell>
          <cell r="E252" t="str">
            <v>27 Greenfield Parade,Bankstown</v>
          </cell>
          <cell r="F252" t="str">
            <v>Sydney</v>
          </cell>
          <cell r="G252" t="str">
            <v>NSW</v>
          </cell>
          <cell r="H252" t="str">
            <v>Small Business</v>
          </cell>
          <cell r="I252" t="str">
            <v>Nicholas Fernandes</v>
          </cell>
          <cell r="J252" t="str">
            <v>Critical</v>
          </cell>
          <cell r="K252" t="str">
            <v>UGen Ultra Cordless Optical Suite</v>
          </cell>
          <cell r="L252" t="str">
            <v>Technology</v>
          </cell>
          <cell r="M252" t="str">
            <v>Small Box</v>
          </cell>
          <cell r="N252" t="str">
            <v>Regular Air</v>
          </cell>
          <cell r="O252">
            <v>41674</v>
          </cell>
          <cell r="P252">
            <v>54.52</v>
          </cell>
          <cell r="Q252">
            <v>100.97</v>
          </cell>
          <cell r="R252">
            <v>46.449999999999996</v>
          </cell>
          <cell r="S252">
            <v>15</v>
          </cell>
          <cell r="T252">
            <v>1514.55</v>
          </cell>
          <cell r="V252">
            <v>121.164</v>
          </cell>
          <cell r="W252">
            <v>1393.386</v>
          </cell>
          <cell r="X252">
            <v>7.18</v>
          </cell>
          <cell r="Y252">
            <v>1400.566</v>
          </cell>
        </row>
        <row r="253">
          <cell r="A253" t="str">
            <v>5400-1</v>
          </cell>
          <cell r="B253">
            <v>41675</v>
          </cell>
          <cell r="C253" t="str">
            <v>2014</v>
          </cell>
          <cell r="D253" t="str">
            <v>Dennis Kane</v>
          </cell>
          <cell r="E253" t="str">
            <v>33/4 Barangaroo Avenue,Sydney</v>
          </cell>
          <cell r="F253" t="str">
            <v>Sydney</v>
          </cell>
          <cell r="G253" t="str">
            <v>NSW</v>
          </cell>
          <cell r="H253" t="str">
            <v>Small Business</v>
          </cell>
          <cell r="I253" t="str">
            <v>Natasha Song</v>
          </cell>
          <cell r="J253" t="str">
            <v>Medium</v>
          </cell>
          <cell r="K253" t="str">
            <v>Cando PC940 Copier</v>
          </cell>
          <cell r="L253" t="str">
            <v>Technology</v>
          </cell>
          <cell r="M253" t="str">
            <v>Jumbo Drum</v>
          </cell>
          <cell r="N253" t="str">
            <v>Delivery Truck</v>
          </cell>
          <cell r="O253">
            <v>41676</v>
          </cell>
          <cell r="P253">
            <v>278.99</v>
          </cell>
          <cell r="Q253">
            <v>449.99</v>
          </cell>
          <cell r="R253">
            <v>171</v>
          </cell>
          <cell r="S253">
            <v>39</v>
          </cell>
          <cell r="T253">
            <v>17549.61</v>
          </cell>
          <cell r="V253">
            <v>1403.9688000000001</v>
          </cell>
          <cell r="W253">
            <v>16145.6412</v>
          </cell>
          <cell r="X253">
            <v>49</v>
          </cell>
          <cell r="Y253">
            <v>16194.6412</v>
          </cell>
        </row>
        <row r="254">
          <cell r="A254" t="str">
            <v>5402-1</v>
          </cell>
          <cell r="B254">
            <v>41677</v>
          </cell>
          <cell r="C254" t="str">
            <v>2014</v>
          </cell>
          <cell r="D254" t="str">
            <v>Logan Haushalter</v>
          </cell>
          <cell r="E254" t="str">
            <v>222 Barkly St,St Kilda</v>
          </cell>
          <cell r="F254" t="str">
            <v>Melbourne</v>
          </cell>
          <cell r="G254" t="str">
            <v>VIC</v>
          </cell>
          <cell r="H254" t="str">
            <v>Corporate</v>
          </cell>
          <cell r="I254" t="str">
            <v>Yvette Biti</v>
          </cell>
          <cell r="J254" t="str">
            <v>Low</v>
          </cell>
          <cell r="K254" t="str">
            <v>HFX LaserJet 3310 Copier</v>
          </cell>
          <cell r="L254" t="str">
            <v>Technology</v>
          </cell>
          <cell r="M254" t="str">
            <v>Large Box</v>
          </cell>
          <cell r="N254" t="str">
            <v>Regular Air</v>
          </cell>
          <cell r="O254">
            <v>41686</v>
          </cell>
          <cell r="P254">
            <v>377.99</v>
          </cell>
          <cell r="Q254">
            <v>599.99</v>
          </cell>
          <cell r="R254">
            <v>222</v>
          </cell>
          <cell r="S254">
            <v>48</v>
          </cell>
          <cell r="T254">
            <v>28799.52</v>
          </cell>
          <cell r="V254">
            <v>2303.9616000000001</v>
          </cell>
          <cell r="W254">
            <v>26495.558400000002</v>
          </cell>
          <cell r="X254">
            <v>24.49</v>
          </cell>
          <cell r="Y254">
            <v>26520.048400000003</v>
          </cell>
        </row>
        <row r="255">
          <cell r="A255" t="str">
            <v>5402-2</v>
          </cell>
          <cell r="B255">
            <v>41677</v>
          </cell>
          <cell r="C255" t="str">
            <v>2014</v>
          </cell>
          <cell r="D255" t="str">
            <v>Logan Haushalter</v>
          </cell>
          <cell r="E255" t="str">
            <v>222 Barkly St,St Kilda</v>
          </cell>
          <cell r="F255" t="str">
            <v>Melbourne</v>
          </cell>
          <cell r="G255" t="str">
            <v>VIC</v>
          </cell>
          <cell r="H255" t="str">
            <v>Corporate</v>
          </cell>
          <cell r="I255" t="str">
            <v>Yvette Biti</v>
          </cell>
          <cell r="J255" t="str">
            <v>Low</v>
          </cell>
          <cell r="K255" t="str">
            <v>Unpadded Memo Slips</v>
          </cell>
          <cell r="L255" t="str">
            <v>Office Supplies</v>
          </cell>
          <cell r="M255" t="str">
            <v>Wrap Bag</v>
          </cell>
          <cell r="N255" t="str">
            <v>Express Air</v>
          </cell>
          <cell r="O255">
            <v>41682</v>
          </cell>
          <cell r="P255">
            <v>2.59</v>
          </cell>
          <cell r="Q255">
            <v>3.98</v>
          </cell>
          <cell r="R255">
            <v>1.3900000000000001</v>
          </cell>
          <cell r="S255">
            <v>11</v>
          </cell>
          <cell r="T255">
            <v>43.78</v>
          </cell>
          <cell r="V255">
            <v>4.3780000000000001</v>
          </cell>
          <cell r="W255">
            <v>39.402000000000001</v>
          </cell>
          <cell r="X255">
            <v>2.97</v>
          </cell>
          <cell r="Y255">
            <v>42.372</v>
          </cell>
        </row>
        <row r="256">
          <cell r="A256" t="str">
            <v>5404-1</v>
          </cell>
          <cell r="B256">
            <v>41679</v>
          </cell>
          <cell r="C256" t="str">
            <v>2014</v>
          </cell>
          <cell r="D256" t="str">
            <v>Susan MacKendrick</v>
          </cell>
          <cell r="E256" t="str">
            <v>53 Riley Street,Woolloomooloo</v>
          </cell>
          <cell r="F256" t="str">
            <v>Sydney</v>
          </cell>
          <cell r="G256" t="str">
            <v>NSW</v>
          </cell>
          <cell r="H256" t="str">
            <v>Corporate</v>
          </cell>
          <cell r="I256" t="str">
            <v>Tina Carlton</v>
          </cell>
          <cell r="J256" t="str">
            <v>Low</v>
          </cell>
          <cell r="K256" t="str">
            <v>Artisan Poly Binder Pockets</v>
          </cell>
          <cell r="L256" t="str">
            <v>Office Supplies</v>
          </cell>
          <cell r="M256" t="str">
            <v>Small Box</v>
          </cell>
          <cell r="N256" t="str">
            <v>Regular Air</v>
          </cell>
          <cell r="O256">
            <v>41683</v>
          </cell>
          <cell r="P256">
            <v>2.2599999999999998</v>
          </cell>
          <cell r="Q256">
            <v>3.58</v>
          </cell>
          <cell r="R256">
            <v>1.3200000000000003</v>
          </cell>
          <cell r="S256">
            <v>42</v>
          </cell>
          <cell r="T256">
            <v>150.36000000000001</v>
          </cell>
          <cell r="V256">
            <v>1.5036000000000003</v>
          </cell>
          <cell r="W256">
            <v>148.85640000000001</v>
          </cell>
          <cell r="X256">
            <v>5.47</v>
          </cell>
          <cell r="Y256">
            <v>154.32640000000001</v>
          </cell>
        </row>
        <row r="257">
          <cell r="A257" t="str">
            <v>5405-1</v>
          </cell>
          <cell r="B257">
            <v>41680</v>
          </cell>
          <cell r="C257" t="str">
            <v>2014</v>
          </cell>
          <cell r="D257" t="str">
            <v>Dennis Pardue</v>
          </cell>
          <cell r="E257" t="str">
            <v>412 Brunswick St,Fitzroy</v>
          </cell>
          <cell r="F257" t="str">
            <v>Melbourne</v>
          </cell>
          <cell r="G257" t="str">
            <v>VIC</v>
          </cell>
          <cell r="H257" t="str">
            <v>Small Business</v>
          </cell>
          <cell r="I257" t="str">
            <v>Connor Betts</v>
          </cell>
          <cell r="J257" t="str">
            <v>Critical</v>
          </cell>
          <cell r="K257" t="str">
            <v>1726 Digital Answering Machine</v>
          </cell>
          <cell r="L257" t="str">
            <v>Technology</v>
          </cell>
          <cell r="M257" t="str">
            <v>Medium Box</v>
          </cell>
          <cell r="N257" t="str">
            <v>Regular Air</v>
          </cell>
          <cell r="O257">
            <v>41681</v>
          </cell>
          <cell r="P257">
            <v>8.82</v>
          </cell>
          <cell r="Q257">
            <v>20.99</v>
          </cell>
          <cell r="R257">
            <v>12.169999999999998</v>
          </cell>
          <cell r="S257">
            <v>42</v>
          </cell>
          <cell r="T257">
            <v>881.57999999999993</v>
          </cell>
          <cell r="V257">
            <v>61.710599999999999</v>
          </cell>
          <cell r="W257">
            <v>819.86939999999993</v>
          </cell>
          <cell r="X257">
            <v>4.8099999999999996</v>
          </cell>
          <cell r="Y257">
            <v>824.67939999999987</v>
          </cell>
        </row>
        <row r="258">
          <cell r="A258" t="str">
            <v>5407-1</v>
          </cell>
          <cell r="B258">
            <v>41680</v>
          </cell>
          <cell r="C258" t="str">
            <v>2014</v>
          </cell>
          <cell r="D258" t="str">
            <v>Elpida Rittenbach</v>
          </cell>
          <cell r="E258" t="str">
            <v>163 Concord Road,North Strathfield</v>
          </cell>
          <cell r="F258" t="str">
            <v>Sydney</v>
          </cell>
          <cell r="G258" t="str">
            <v>NSW</v>
          </cell>
          <cell r="H258" t="str">
            <v>Consumer</v>
          </cell>
          <cell r="I258" t="str">
            <v>Charlie Bui</v>
          </cell>
          <cell r="J258" t="str">
            <v>Low</v>
          </cell>
          <cell r="K258" t="str">
            <v>Ames Color-File Green Diamond Border X-ray Mailers</v>
          </cell>
          <cell r="L258" t="str">
            <v>Office Supplies</v>
          </cell>
          <cell r="M258" t="str">
            <v>Small Box</v>
          </cell>
          <cell r="N258" t="str">
            <v>Express Air</v>
          </cell>
          <cell r="O258">
            <v>41682</v>
          </cell>
          <cell r="P258">
            <v>52.07</v>
          </cell>
          <cell r="Q258">
            <v>83.98</v>
          </cell>
          <cell r="R258">
            <v>31.910000000000004</v>
          </cell>
          <cell r="S258">
            <v>9</v>
          </cell>
          <cell r="T258">
            <v>755.82</v>
          </cell>
          <cell r="V258">
            <v>37.791000000000004</v>
          </cell>
          <cell r="W258">
            <v>718.029</v>
          </cell>
          <cell r="X258">
            <v>5.01</v>
          </cell>
          <cell r="Y258">
            <v>723.03899999999999</v>
          </cell>
        </row>
        <row r="259">
          <cell r="A259" t="str">
            <v>5409-1</v>
          </cell>
          <cell r="B259">
            <v>41682</v>
          </cell>
          <cell r="C259" t="str">
            <v>2014</v>
          </cell>
          <cell r="D259" t="str">
            <v>Julie Prescott</v>
          </cell>
          <cell r="E259" t="str">
            <v>438 Victoria Avenue,Chatswood</v>
          </cell>
          <cell r="F259" t="str">
            <v>Sydney</v>
          </cell>
          <cell r="G259" t="str">
            <v>NSW</v>
          </cell>
          <cell r="H259" t="str">
            <v>Home Office</v>
          </cell>
          <cell r="I259" t="str">
            <v>Natasha Song</v>
          </cell>
          <cell r="J259" t="str">
            <v>High</v>
          </cell>
          <cell r="K259" t="str">
            <v>Cando PC940 Copier</v>
          </cell>
          <cell r="L259" t="str">
            <v>Technology</v>
          </cell>
          <cell r="M259" t="str">
            <v>Large Box</v>
          </cell>
          <cell r="N259" t="str">
            <v>Regular Air</v>
          </cell>
          <cell r="O259">
            <v>41683</v>
          </cell>
          <cell r="P259">
            <v>216</v>
          </cell>
          <cell r="Q259">
            <v>449.99</v>
          </cell>
          <cell r="R259">
            <v>233.99</v>
          </cell>
          <cell r="S259">
            <v>5</v>
          </cell>
          <cell r="T259">
            <v>2249.9499999999998</v>
          </cell>
          <cell r="V259">
            <v>44.998999999999995</v>
          </cell>
          <cell r="W259">
            <v>2204.951</v>
          </cell>
          <cell r="X259">
            <v>24.49</v>
          </cell>
          <cell r="Y259">
            <v>2229.4409999999998</v>
          </cell>
        </row>
        <row r="260">
          <cell r="A260" t="str">
            <v>5411-1</v>
          </cell>
          <cell r="B260">
            <v>41683</v>
          </cell>
          <cell r="C260" t="str">
            <v>2014</v>
          </cell>
          <cell r="D260" t="str">
            <v>Steve Nguyen</v>
          </cell>
          <cell r="E260" t="str">
            <v>61 York St,Sydney</v>
          </cell>
          <cell r="F260" t="str">
            <v>Sydney</v>
          </cell>
          <cell r="G260" t="str">
            <v>NSW</v>
          </cell>
          <cell r="H260" t="str">
            <v>Consumer</v>
          </cell>
          <cell r="I260" t="str">
            <v>Leighton Forrest</v>
          </cell>
          <cell r="J260" t="str">
            <v>High</v>
          </cell>
          <cell r="K260" t="str">
            <v>Artisan Hi-Liter Pen Style Six-Color Fluorescent Set</v>
          </cell>
          <cell r="L260" t="str">
            <v>Office Supplies</v>
          </cell>
          <cell r="M260" t="str">
            <v>Wrap Bag</v>
          </cell>
          <cell r="N260" t="str">
            <v>Regular Air</v>
          </cell>
          <cell r="O260">
            <v>41683</v>
          </cell>
          <cell r="P260">
            <v>2.16</v>
          </cell>
          <cell r="Q260">
            <v>3.85</v>
          </cell>
          <cell r="R260">
            <v>1.69</v>
          </cell>
          <cell r="S260">
            <v>31</v>
          </cell>
          <cell r="T260">
            <v>119.35000000000001</v>
          </cell>
          <cell r="V260">
            <v>10.7415</v>
          </cell>
          <cell r="W260">
            <v>108.60850000000001</v>
          </cell>
          <cell r="X260">
            <v>0.7</v>
          </cell>
          <cell r="Y260">
            <v>109.30850000000001</v>
          </cell>
        </row>
        <row r="261">
          <cell r="A261" t="str">
            <v>5413-1</v>
          </cell>
          <cell r="B261">
            <v>41685</v>
          </cell>
          <cell r="C261" t="str">
            <v>2014</v>
          </cell>
          <cell r="D261" t="str">
            <v>Sandra Glassco</v>
          </cell>
          <cell r="E261" t="str">
            <v>224A Gertrude St,Fitzroy</v>
          </cell>
          <cell r="F261" t="str">
            <v>Melbourne</v>
          </cell>
          <cell r="G261" t="str">
            <v>VIC</v>
          </cell>
          <cell r="H261" t="str">
            <v>Home Office</v>
          </cell>
          <cell r="I261" t="str">
            <v>Connor Betts</v>
          </cell>
          <cell r="J261" t="str">
            <v>Medium</v>
          </cell>
          <cell r="K261" t="str">
            <v>Blackstonian Pencils</v>
          </cell>
          <cell r="L261" t="str">
            <v>Office Supplies</v>
          </cell>
          <cell r="M261" t="str">
            <v>Wrap Bag</v>
          </cell>
          <cell r="N261" t="str">
            <v>Regular Air</v>
          </cell>
          <cell r="O261">
            <v>41686</v>
          </cell>
          <cell r="P261">
            <v>1.1499999999999999</v>
          </cell>
          <cell r="Q261">
            <v>2.67</v>
          </cell>
          <cell r="R261">
            <v>1.52</v>
          </cell>
          <cell r="S261">
            <v>19</v>
          </cell>
          <cell r="T261">
            <v>50.73</v>
          </cell>
          <cell r="V261">
            <v>1.5218999999999998</v>
          </cell>
          <cell r="W261">
            <v>49.208099999999995</v>
          </cell>
          <cell r="X261">
            <v>0.86</v>
          </cell>
          <cell r="Y261">
            <v>50.068099999999994</v>
          </cell>
        </row>
        <row r="262">
          <cell r="A262" t="str">
            <v>5415-1</v>
          </cell>
          <cell r="B262">
            <v>41685</v>
          </cell>
          <cell r="C262" t="str">
            <v>2014</v>
          </cell>
          <cell r="D262" t="str">
            <v>Yana Sorensen</v>
          </cell>
          <cell r="E262" t="str">
            <v>53-55 Liverpool St,Sydney</v>
          </cell>
          <cell r="F262" t="str">
            <v>Sydney</v>
          </cell>
          <cell r="G262" t="str">
            <v>NSW</v>
          </cell>
          <cell r="H262" t="str">
            <v>Corporate</v>
          </cell>
          <cell r="I262" t="str">
            <v>Tina Carlton</v>
          </cell>
          <cell r="J262" t="str">
            <v>Low</v>
          </cell>
          <cell r="K262" t="str">
            <v>Creator Colored Pencils</v>
          </cell>
          <cell r="L262" t="str">
            <v>Office Supplies</v>
          </cell>
          <cell r="M262" t="str">
            <v>Wrap Bag</v>
          </cell>
          <cell r="N262" t="str">
            <v>Express Air</v>
          </cell>
          <cell r="O262">
            <v>41690</v>
          </cell>
          <cell r="P262">
            <v>1.57</v>
          </cell>
          <cell r="Q262">
            <v>3.28</v>
          </cell>
          <cell r="R262">
            <v>1.7099999999999997</v>
          </cell>
          <cell r="S262">
            <v>44</v>
          </cell>
          <cell r="T262">
            <v>144.32</v>
          </cell>
          <cell r="V262">
            <v>0</v>
          </cell>
          <cell r="W262">
            <v>144.32</v>
          </cell>
          <cell r="X262">
            <v>0.98</v>
          </cell>
          <cell r="Y262">
            <v>145.29999999999998</v>
          </cell>
        </row>
        <row r="263">
          <cell r="A263" t="str">
            <v>5416-1</v>
          </cell>
          <cell r="B263">
            <v>41686</v>
          </cell>
          <cell r="C263" t="str">
            <v>2014</v>
          </cell>
          <cell r="D263" t="str">
            <v>Pamela Coakley</v>
          </cell>
          <cell r="E263" t="str">
            <v>120 Hardware St,Melbourne</v>
          </cell>
          <cell r="F263" t="str">
            <v>Melbourne</v>
          </cell>
          <cell r="G263" t="str">
            <v>VIC</v>
          </cell>
          <cell r="H263" t="str">
            <v>Corporate</v>
          </cell>
          <cell r="I263" t="str">
            <v>Yvette Biti</v>
          </cell>
          <cell r="J263" t="str">
            <v>High</v>
          </cell>
          <cell r="K263" t="str">
            <v>1726 Digital Answering Machine</v>
          </cell>
          <cell r="L263" t="str">
            <v>Technology</v>
          </cell>
          <cell r="M263" t="str">
            <v>Medium Box</v>
          </cell>
          <cell r="N263" t="str">
            <v>Regular Air</v>
          </cell>
          <cell r="O263">
            <v>41688</v>
          </cell>
          <cell r="P263">
            <v>8.82</v>
          </cell>
          <cell r="Q263">
            <v>20.99</v>
          </cell>
          <cell r="R263">
            <v>12.169999999999998</v>
          </cell>
          <cell r="S263">
            <v>24</v>
          </cell>
          <cell r="T263">
            <v>503.76</v>
          </cell>
          <cell r="V263">
            <v>5.0376000000000003</v>
          </cell>
          <cell r="W263">
            <v>498.72239999999999</v>
          </cell>
          <cell r="X263">
            <v>4.8099999999999996</v>
          </cell>
          <cell r="Y263">
            <v>503.5324</v>
          </cell>
        </row>
        <row r="264">
          <cell r="A264" t="str">
            <v>5418-1</v>
          </cell>
          <cell r="B264">
            <v>41692</v>
          </cell>
          <cell r="C264" t="str">
            <v>2014</v>
          </cell>
          <cell r="D264" t="str">
            <v>Amy Cox</v>
          </cell>
          <cell r="E264" t="str">
            <v>101/12 Victoria Ave, Perth</v>
          </cell>
          <cell r="F264" t="str">
            <v>Sydney</v>
          </cell>
          <cell r="G264" t="str">
            <v>NSW</v>
          </cell>
          <cell r="H264" t="str">
            <v>Corporate</v>
          </cell>
          <cell r="I264" t="str">
            <v>Aanya Zhang</v>
          </cell>
          <cell r="J264" t="str">
            <v>Critical</v>
          </cell>
          <cell r="K264" t="str">
            <v>Apex Box Cutter Scissors</v>
          </cell>
          <cell r="L264" t="str">
            <v>Office Supplies</v>
          </cell>
          <cell r="M264" t="str">
            <v>Small Pack</v>
          </cell>
          <cell r="N264" t="str">
            <v>Regular Air</v>
          </cell>
          <cell r="O264">
            <v>41693</v>
          </cell>
          <cell r="P264">
            <v>4.1900000000000004</v>
          </cell>
          <cell r="Q264">
            <v>10.23</v>
          </cell>
          <cell r="R264">
            <v>6.04</v>
          </cell>
          <cell r="S264">
            <v>9</v>
          </cell>
          <cell r="T264">
            <v>92.070000000000007</v>
          </cell>
          <cell r="V264">
            <v>6.4449000000000014</v>
          </cell>
          <cell r="W264">
            <v>85.625100000000003</v>
          </cell>
          <cell r="X264">
            <v>4.68</v>
          </cell>
          <cell r="Y264">
            <v>90.30510000000001</v>
          </cell>
        </row>
        <row r="265">
          <cell r="A265" t="str">
            <v>5420-1</v>
          </cell>
          <cell r="B265">
            <v>41692</v>
          </cell>
          <cell r="C265" t="str">
            <v>2014</v>
          </cell>
          <cell r="D265" t="str">
            <v>Sanjit Jacobs</v>
          </cell>
          <cell r="E265" t="str">
            <v>541 Church St,Richmond</v>
          </cell>
          <cell r="F265" t="str">
            <v>Melbourne</v>
          </cell>
          <cell r="G265" t="str">
            <v>VIC</v>
          </cell>
          <cell r="H265" t="str">
            <v>Consumer</v>
          </cell>
          <cell r="I265" t="str">
            <v>Yvette Biti</v>
          </cell>
          <cell r="J265" t="str">
            <v>High</v>
          </cell>
          <cell r="K265" t="str">
            <v>Binder Clips by OIC</v>
          </cell>
          <cell r="L265" t="str">
            <v>Office Supplies</v>
          </cell>
          <cell r="M265" t="str">
            <v>Wrap Bag</v>
          </cell>
          <cell r="N265" t="str">
            <v>Regular Air</v>
          </cell>
          <cell r="O265">
            <v>41693</v>
          </cell>
          <cell r="P265">
            <v>0.93</v>
          </cell>
          <cell r="Q265">
            <v>1.48</v>
          </cell>
          <cell r="R265">
            <v>0.54999999999999993</v>
          </cell>
          <cell r="S265">
            <v>46</v>
          </cell>
          <cell r="T265">
            <v>68.08</v>
          </cell>
          <cell r="V265">
            <v>0</v>
          </cell>
          <cell r="W265">
            <v>68.08</v>
          </cell>
          <cell r="X265">
            <v>0.7</v>
          </cell>
          <cell r="Y265">
            <v>68.78</v>
          </cell>
        </row>
        <row r="266">
          <cell r="A266" t="str">
            <v>5421-1</v>
          </cell>
          <cell r="B266">
            <v>41692</v>
          </cell>
          <cell r="C266" t="str">
            <v>2014</v>
          </cell>
          <cell r="D266" t="str">
            <v>Grant Thornton</v>
          </cell>
          <cell r="E266" t="str">
            <v>98 Holdsworth Street,Woollahra</v>
          </cell>
          <cell r="F266" t="str">
            <v>Sydney</v>
          </cell>
          <cell r="G266" t="str">
            <v>NSW</v>
          </cell>
          <cell r="H266" t="str">
            <v>Corporate</v>
          </cell>
          <cell r="I266" t="str">
            <v>Natasha Song</v>
          </cell>
          <cell r="J266" t="str">
            <v>High</v>
          </cell>
          <cell r="K266" t="str">
            <v>TypeRight  Top-Opening Peel &amp; Seel  Envelopes, Gray</v>
          </cell>
          <cell r="L266" t="str">
            <v>Office Supplies</v>
          </cell>
          <cell r="M266" t="str">
            <v>Small Box</v>
          </cell>
          <cell r="N266" t="str">
            <v>Regular Air</v>
          </cell>
          <cell r="O266">
            <v>41693</v>
          </cell>
          <cell r="P266">
            <v>21.56</v>
          </cell>
          <cell r="Q266">
            <v>35.94</v>
          </cell>
          <cell r="R266">
            <v>14.379999999999999</v>
          </cell>
          <cell r="S266">
            <v>13</v>
          </cell>
          <cell r="T266">
            <v>467.21999999999997</v>
          </cell>
          <cell r="V266">
            <v>14.016599999999999</v>
          </cell>
          <cell r="W266">
            <v>453.20339999999999</v>
          </cell>
          <cell r="X266">
            <v>6.66</v>
          </cell>
          <cell r="Y266">
            <v>459.86340000000001</v>
          </cell>
        </row>
        <row r="267">
          <cell r="A267" t="str">
            <v>5423-1</v>
          </cell>
          <cell r="B267">
            <v>41693</v>
          </cell>
          <cell r="C267" t="str">
            <v>2014</v>
          </cell>
          <cell r="D267" t="str">
            <v>Erica Hackney</v>
          </cell>
          <cell r="E267" t="str">
            <v>221 Barkly St,St Kilda</v>
          </cell>
          <cell r="F267" t="str">
            <v>Melbourne</v>
          </cell>
          <cell r="G267" t="str">
            <v>VIC</v>
          </cell>
          <cell r="H267" t="str">
            <v>Small Business</v>
          </cell>
          <cell r="I267" t="str">
            <v>Yvette Biti</v>
          </cell>
          <cell r="J267" t="str">
            <v>Medium</v>
          </cell>
          <cell r="K267" t="str">
            <v>TechSavi Cordless Navigator Duo</v>
          </cell>
          <cell r="L267" t="str">
            <v>Technology</v>
          </cell>
          <cell r="M267" t="str">
            <v>Small Box</v>
          </cell>
          <cell r="N267" t="str">
            <v>Regular Air</v>
          </cell>
          <cell r="O267">
            <v>41696</v>
          </cell>
          <cell r="P267">
            <v>42.11</v>
          </cell>
          <cell r="Q267">
            <v>80.98</v>
          </cell>
          <cell r="R267">
            <v>38.870000000000005</v>
          </cell>
          <cell r="S267">
            <v>45</v>
          </cell>
          <cell r="T267">
            <v>3644.1000000000004</v>
          </cell>
          <cell r="V267">
            <v>0</v>
          </cell>
          <cell r="W267">
            <v>3644.1000000000004</v>
          </cell>
          <cell r="X267">
            <v>7.18</v>
          </cell>
          <cell r="Y267">
            <v>3651.28</v>
          </cell>
        </row>
        <row r="268">
          <cell r="A268" t="str">
            <v>5424-1</v>
          </cell>
          <cell r="B268">
            <v>41694</v>
          </cell>
          <cell r="C268" t="str">
            <v>2014</v>
          </cell>
          <cell r="D268" t="str">
            <v>Chad McGuire</v>
          </cell>
          <cell r="E268" t="str">
            <v>73 MacLeay St,Potts Point</v>
          </cell>
          <cell r="F268" t="str">
            <v>Sydney</v>
          </cell>
          <cell r="G268" t="str">
            <v>NSW</v>
          </cell>
          <cell r="H268" t="str">
            <v>Small Business</v>
          </cell>
          <cell r="I268" t="str">
            <v>Natasha Song</v>
          </cell>
          <cell r="J268" t="str">
            <v>Critical</v>
          </cell>
          <cell r="K268" t="str">
            <v>Artisan Non-Stick Binders</v>
          </cell>
          <cell r="L268" t="str">
            <v>Office Supplies</v>
          </cell>
          <cell r="M268" t="str">
            <v>Small Box</v>
          </cell>
          <cell r="N268" t="str">
            <v>Regular Air</v>
          </cell>
          <cell r="O268">
            <v>41695</v>
          </cell>
          <cell r="P268">
            <v>2.74</v>
          </cell>
          <cell r="Q268">
            <v>4.49</v>
          </cell>
          <cell r="R268">
            <v>1.75</v>
          </cell>
          <cell r="S268">
            <v>6</v>
          </cell>
          <cell r="T268">
            <v>26.94</v>
          </cell>
          <cell r="V268">
            <v>0.80820000000000003</v>
          </cell>
          <cell r="W268">
            <v>26.131800000000002</v>
          </cell>
          <cell r="X268">
            <v>1.49</v>
          </cell>
          <cell r="Y268">
            <v>27.6218</v>
          </cell>
        </row>
        <row r="269">
          <cell r="A269" t="str">
            <v>5426-1</v>
          </cell>
          <cell r="B269">
            <v>41694</v>
          </cell>
          <cell r="C269" t="str">
            <v>2014</v>
          </cell>
          <cell r="D269" t="str">
            <v>Pauline Chand</v>
          </cell>
          <cell r="E269" t="str">
            <v>501 George St,Sydney</v>
          </cell>
          <cell r="F269" t="str">
            <v>Sydney</v>
          </cell>
          <cell r="G269" t="str">
            <v>NSW</v>
          </cell>
          <cell r="H269" t="str">
            <v>Small Business</v>
          </cell>
          <cell r="I269" t="str">
            <v>Samantha Chairs</v>
          </cell>
          <cell r="J269" t="str">
            <v>Not Specified</v>
          </cell>
          <cell r="K269" t="str">
            <v>EcoTones Memo Sheets</v>
          </cell>
          <cell r="L269" t="str">
            <v>Office Supplies</v>
          </cell>
          <cell r="M269" t="str">
            <v>Wrap Bag</v>
          </cell>
          <cell r="N269" t="str">
            <v>Regular Air</v>
          </cell>
          <cell r="O269">
            <v>41696</v>
          </cell>
          <cell r="P269">
            <v>2.52</v>
          </cell>
          <cell r="Q269">
            <v>4</v>
          </cell>
          <cell r="R269">
            <v>1.48</v>
          </cell>
          <cell r="S269">
            <v>33</v>
          </cell>
          <cell r="T269">
            <v>132</v>
          </cell>
          <cell r="V269">
            <v>10.56</v>
          </cell>
          <cell r="W269">
            <v>121.44</v>
          </cell>
          <cell r="X269">
            <v>1.3</v>
          </cell>
          <cell r="Y269">
            <v>122.74</v>
          </cell>
        </row>
        <row r="270">
          <cell r="A270" t="str">
            <v>5428-1</v>
          </cell>
          <cell r="B270">
            <v>41695</v>
          </cell>
          <cell r="C270" t="str">
            <v>2014</v>
          </cell>
          <cell r="D270" t="str">
            <v>Bobby Elias</v>
          </cell>
          <cell r="E270" t="str">
            <v>37/59 Brewer Street, Perth</v>
          </cell>
          <cell r="F270" t="str">
            <v>Melbourne</v>
          </cell>
          <cell r="G270" t="str">
            <v>VIC</v>
          </cell>
          <cell r="H270" t="str">
            <v>Small Business</v>
          </cell>
          <cell r="I270" t="str">
            <v>Connor Betts</v>
          </cell>
          <cell r="J270" t="str">
            <v>Not Specified</v>
          </cell>
          <cell r="K270" t="str">
            <v>Creator Colored Pencils</v>
          </cell>
          <cell r="L270" t="str">
            <v>Office Supplies</v>
          </cell>
          <cell r="M270" t="str">
            <v>Wrap Bag</v>
          </cell>
          <cell r="N270" t="str">
            <v>Regular Air</v>
          </cell>
          <cell r="O270">
            <v>41696</v>
          </cell>
          <cell r="P270">
            <v>1.57</v>
          </cell>
          <cell r="Q270">
            <v>3.28</v>
          </cell>
          <cell r="R270">
            <v>1.7099999999999997</v>
          </cell>
          <cell r="S270">
            <v>26</v>
          </cell>
          <cell r="T270">
            <v>85.28</v>
          </cell>
          <cell r="V270">
            <v>6.8224</v>
          </cell>
          <cell r="W270">
            <v>78.457599999999999</v>
          </cell>
          <cell r="X270">
            <v>0.98</v>
          </cell>
          <cell r="Y270">
            <v>79.437600000000003</v>
          </cell>
        </row>
        <row r="271">
          <cell r="A271" t="str">
            <v>5430-1</v>
          </cell>
          <cell r="B271">
            <v>41695</v>
          </cell>
          <cell r="C271" t="str">
            <v>2014</v>
          </cell>
          <cell r="D271" t="str">
            <v>Gary Hwang</v>
          </cell>
          <cell r="E271" t="str">
            <v>60 York St,Sydney</v>
          </cell>
          <cell r="F271" t="str">
            <v>Sydney</v>
          </cell>
          <cell r="G271" t="str">
            <v>NSW</v>
          </cell>
          <cell r="H271" t="str">
            <v>Home Office</v>
          </cell>
          <cell r="I271" t="str">
            <v>Charlie Bui</v>
          </cell>
          <cell r="J271" t="str">
            <v>Critical</v>
          </cell>
          <cell r="K271" t="str">
            <v>Steady Liquid Accent Highlighters</v>
          </cell>
          <cell r="L271" t="str">
            <v>Office Supplies</v>
          </cell>
          <cell r="M271" t="str">
            <v>Wrap Bag</v>
          </cell>
          <cell r="N271" t="str">
            <v>Regular Air</v>
          </cell>
          <cell r="O271">
            <v>41697</v>
          </cell>
          <cell r="P271">
            <v>3.47</v>
          </cell>
          <cell r="Q271">
            <v>6.68</v>
          </cell>
          <cell r="R271">
            <v>3.2099999999999995</v>
          </cell>
          <cell r="S271">
            <v>33</v>
          </cell>
          <cell r="T271">
            <v>220.44</v>
          </cell>
          <cell r="V271">
            <v>6.6132</v>
          </cell>
          <cell r="W271">
            <v>213.82679999999999</v>
          </cell>
          <cell r="X271">
            <v>1.5</v>
          </cell>
          <cell r="Y271">
            <v>215.32679999999999</v>
          </cell>
        </row>
        <row r="272">
          <cell r="A272" t="str">
            <v>5432-1</v>
          </cell>
          <cell r="B272">
            <v>41698</v>
          </cell>
          <cell r="C272" t="str">
            <v>2014</v>
          </cell>
          <cell r="D272" t="str">
            <v>Lena Radford</v>
          </cell>
          <cell r="E272" t="str">
            <v>4A Lyons St,Strathfield</v>
          </cell>
          <cell r="F272" t="str">
            <v>Sydney</v>
          </cell>
          <cell r="G272" t="str">
            <v>NSW</v>
          </cell>
          <cell r="H272" t="str">
            <v>Small Business</v>
          </cell>
          <cell r="I272" t="str">
            <v>Tina Carlton</v>
          </cell>
          <cell r="J272" t="str">
            <v>Medium</v>
          </cell>
          <cell r="K272" t="str">
            <v>Steady EarthWrite Recycled Pencils, Medium Soft, #2</v>
          </cell>
          <cell r="L272" t="str">
            <v>Office Supplies</v>
          </cell>
          <cell r="M272" t="str">
            <v>Wrap Bag</v>
          </cell>
          <cell r="N272" t="str">
            <v>Regular Air</v>
          </cell>
          <cell r="O272">
            <v>41699</v>
          </cell>
          <cell r="P272">
            <v>0.9</v>
          </cell>
          <cell r="Q272">
            <v>2.1</v>
          </cell>
          <cell r="R272">
            <v>1.2000000000000002</v>
          </cell>
          <cell r="S272">
            <v>21</v>
          </cell>
          <cell r="T272">
            <v>44.1</v>
          </cell>
          <cell r="V272">
            <v>1.764</v>
          </cell>
          <cell r="W272">
            <v>42.335999999999999</v>
          </cell>
          <cell r="X272">
            <v>0.7</v>
          </cell>
          <cell r="Y272">
            <v>43.036000000000001</v>
          </cell>
        </row>
        <row r="273">
          <cell r="A273" t="str">
            <v>5433-1</v>
          </cell>
          <cell r="B273">
            <v>41700</v>
          </cell>
          <cell r="C273" t="str">
            <v>2014</v>
          </cell>
          <cell r="D273" t="str">
            <v>Edward Nazzal</v>
          </cell>
          <cell r="E273" t="str">
            <v>2a/285A Crown St,Surry Hills</v>
          </cell>
          <cell r="F273" t="str">
            <v>Sydney</v>
          </cell>
          <cell r="G273" t="str">
            <v>NSW</v>
          </cell>
          <cell r="H273" t="str">
            <v>Home Office</v>
          </cell>
          <cell r="I273" t="str">
            <v>Phoebe Gour</v>
          </cell>
          <cell r="J273" t="str">
            <v>Medium</v>
          </cell>
          <cell r="K273" t="str">
            <v>Binding Machine Supplies</v>
          </cell>
          <cell r="L273" t="str">
            <v>Office Supplies</v>
          </cell>
          <cell r="M273" t="str">
            <v>Small Box</v>
          </cell>
          <cell r="N273" t="str">
            <v>Regular Air</v>
          </cell>
          <cell r="O273">
            <v>41701</v>
          </cell>
          <cell r="P273">
            <v>18.38</v>
          </cell>
          <cell r="Q273">
            <v>29.17</v>
          </cell>
          <cell r="R273">
            <v>10.790000000000003</v>
          </cell>
          <cell r="S273">
            <v>1</v>
          </cell>
          <cell r="T273">
            <v>29.17</v>
          </cell>
          <cell r="V273">
            <v>0.58340000000000003</v>
          </cell>
          <cell r="W273">
            <v>28.586600000000001</v>
          </cell>
          <cell r="X273">
            <v>6.27</v>
          </cell>
          <cell r="Y273">
            <v>34.8566</v>
          </cell>
        </row>
        <row r="274">
          <cell r="A274" t="str">
            <v>5434-1</v>
          </cell>
          <cell r="B274">
            <v>41704</v>
          </cell>
          <cell r="C274" t="str">
            <v>2014</v>
          </cell>
          <cell r="D274" t="str">
            <v>Delfina Latchford</v>
          </cell>
          <cell r="E274" t="str">
            <v>8 Rankins Lane ,Melbourne</v>
          </cell>
          <cell r="F274" t="str">
            <v>Melbourne</v>
          </cell>
          <cell r="G274" t="str">
            <v>VIC</v>
          </cell>
          <cell r="H274" t="str">
            <v>Small Business</v>
          </cell>
          <cell r="I274" t="str">
            <v>Connor Betts</v>
          </cell>
          <cell r="J274" t="str">
            <v>Critical</v>
          </cell>
          <cell r="K274" t="str">
            <v>Beekin 6 Outlet Metallic Surge Strip</v>
          </cell>
          <cell r="L274" t="str">
            <v>Office Supplies</v>
          </cell>
          <cell r="M274" t="str">
            <v>Small Box</v>
          </cell>
          <cell r="N274" t="str">
            <v>Regular Air</v>
          </cell>
          <cell r="O274">
            <v>41705</v>
          </cell>
          <cell r="P274">
            <v>4.46</v>
          </cell>
          <cell r="Q274">
            <v>10.89</v>
          </cell>
          <cell r="R274">
            <v>6.4300000000000006</v>
          </cell>
          <cell r="S274">
            <v>32</v>
          </cell>
          <cell r="T274">
            <v>348.48</v>
          </cell>
          <cell r="V274">
            <v>34.848000000000006</v>
          </cell>
          <cell r="W274">
            <v>313.63200000000001</v>
          </cell>
          <cell r="X274">
            <v>4.5</v>
          </cell>
          <cell r="Y274">
            <v>318.13200000000001</v>
          </cell>
        </row>
        <row r="275">
          <cell r="A275" t="str">
            <v>5435-1</v>
          </cell>
          <cell r="B275">
            <v>41708</v>
          </cell>
          <cell r="C275" t="str">
            <v>2014</v>
          </cell>
          <cell r="D275" t="str">
            <v>Adam Hart</v>
          </cell>
          <cell r="E275" t="str">
            <v>2a/285A Crown St,Surry Hills</v>
          </cell>
          <cell r="F275" t="str">
            <v>Sydney</v>
          </cell>
          <cell r="G275" t="str">
            <v>NSW</v>
          </cell>
          <cell r="H275" t="str">
            <v>Corporate</v>
          </cell>
          <cell r="I275" t="str">
            <v>Phoebe Gour</v>
          </cell>
          <cell r="J275" t="str">
            <v>Not Specified</v>
          </cell>
          <cell r="K275" t="str">
            <v>Artisan 481 Labels</v>
          </cell>
          <cell r="L275" t="str">
            <v>Office Supplies</v>
          </cell>
          <cell r="M275" t="str">
            <v>Small Box</v>
          </cell>
          <cell r="N275" t="str">
            <v>Regular Air</v>
          </cell>
          <cell r="O275">
            <v>41709</v>
          </cell>
          <cell r="P275">
            <v>1.94</v>
          </cell>
          <cell r="Q275">
            <v>3.08</v>
          </cell>
          <cell r="R275">
            <v>1.1400000000000001</v>
          </cell>
          <cell r="S275">
            <v>1</v>
          </cell>
          <cell r="T275">
            <v>3.08</v>
          </cell>
          <cell r="V275">
            <v>0.24640000000000001</v>
          </cell>
          <cell r="W275">
            <v>2.8336000000000001</v>
          </cell>
          <cell r="X275">
            <v>0.99</v>
          </cell>
          <cell r="Y275">
            <v>3.8235999999999999</v>
          </cell>
        </row>
        <row r="276">
          <cell r="A276" t="str">
            <v>5436-1</v>
          </cell>
          <cell r="B276">
            <v>41709</v>
          </cell>
          <cell r="C276" t="str">
            <v>2014</v>
          </cell>
          <cell r="D276" t="str">
            <v>Rick Duston</v>
          </cell>
          <cell r="E276" t="str">
            <v>260 Marrickville Rd,Marrickville</v>
          </cell>
          <cell r="F276" t="str">
            <v>Sydney</v>
          </cell>
          <cell r="G276" t="str">
            <v>NSW</v>
          </cell>
          <cell r="H276" t="str">
            <v>Corporate</v>
          </cell>
          <cell r="I276" t="str">
            <v>Nicholas Fernandes</v>
          </cell>
          <cell r="J276" t="str">
            <v>Medium</v>
          </cell>
          <cell r="K276" t="str">
            <v>Airmail Envelopes</v>
          </cell>
          <cell r="L276" t="str">
            <v>Office Supplies</v>
          </cell>
          <cell r="M276" t="str">
            <v>Small Box</v>
          </cell>
          <cell r="N276" t="str">
            <v>Regular Air</v>
          </cell>
          <cell r="O276">
            <v>41710</v>
          </cell>
          <cell r="P276">
            <v>52.04</v>
          </cell>
          <cell r="Q276">
            <v>83.93</v>
          </cell>
          <cell r="R276">
            <v>31.890000000000008</v>
          </cell>
          <cell r="S276">
            <v>50</v>
          </cell>
          <cell r="T276">
            <v>4196.5</v>
          </cell>
          <cell r="V276">
            <v>419.65000000000003</v>
          </cell>
          <cell r="W276">
            <v>3776.85</v>
          </cell>
          <cell r="X276">
            <v>19.989999999999998</v>
          </cell>
          <cell r="Y276">
            <v>3796.8399999999997</v>
          </cell>
        </row>
        <row r="277">
          <cell r="A277" t="str">
            <v>5438-1</v>
          </cell>
          <cell r="B277">
            <v>41710</v>
          </cell>
          <cell r="C277" t="str">
            <v>2014</v>
          </cell>
          <cell r="D277" t="str">
            <v>Matt Collister</v>
          </cell>
          <cell r="E277" t="str">
            <v>1/20 Pendal Lane</v>
          </cell>
          <cell r="F277" t="str">
            <v>Perth</v>
          </cell>
          <cell r="G277" t="str">
            <v>WA</v>
          </cell>
          <cell r="H277" t="str">
            <v>Home Office</v>
          </cell>
          <cell r="I277" t="str">
            <v>Natasha Song</v>
          </cell>
          <cell r="J277" t="str">
            <v>High</v>
          </cell>
          <cell r="K277" t="str">
            <v>TechSavi Cordless Elite Duo</v>
          </cell>
          <cell r="L277" t="str">
            <v>Technology</v>
          </cell>
          <cell r="M277" t="str">
            <v>Small Box</v>
          </cell>
          <cell r="N277" t="str">
            <v>Express Air</v>
          </cell>
          <cell r="O277">
            <v>41711</v>
          </cell>
          <cell r="P277">
            <v>60.59</v>
          </cell>
          <cell r="Q277">
            <v>100.98</v>
          </cell>
          <cell r="R277">
            <v>40.39</v>
          </cell>
          <cell r="S277">
            <v>5</v>
          </cell>
          <cell r="T277">
            <v>504.90000000000003</v>
          </cell>
          <cell r="V277">
            <v>10.098000000000001</v>
          </cell>
          <cell r="W277">
            <v>494.80200000000002</v>
          </cell>
          <cell r="X277">
            <v>7.18</v>
          </cell>
          <cell r="Y277">
            <v>501.98200000000003</v>
          </cell>
        </row>
        <row r="278">
          <cell r="A278" t="str">
            <v>5439-1</v>
          </cell>
          <cell r="B278">
            <v>41711</v>
          </cell>
          <cell r="C278" t="str">
            <v>2014</v>
          </cell>
          <cell r="D278" t="str">
            <v>Dennis Pardue</v>
          </cell>
          <cell r="E278" t="str">
            <v>412 Brunswick St,Fitzroy</v>
          </cell>
          <cell r="F278" t="str">
            <v>Melbourne</v>
          </cell>
          <cell r="G278" t="str">
            <v>VIC</v>
          </cell>
          <cell r="H278" t="str">
            <v>Corporate</v>
          </cell>
          <cell r="I278" t="str">
            <v>Connor Betts</v>
          </cell>
          <cell r="J278" t="str">
            <v>Low</v>
          </cell>
          <cell r="K278" t="str">
            <v>Steady Major Accent Highlighters</v>
          </cell>
          <cell r="L278" t="str">
            <v>Office Supplies</v>
          </cell>
          <cell r="M278" t="str">
            <v>Wrap Bag</v>
          </cell>
          <cell r="N278" t="str">
            <v>Regular Air</v>
          </cell>
          <cell r="O278">
            <v>41711</v>
          </cell>
          <cell r="P278">
            <v>3.75</v>
          </cell>
          <cell r="Q278">
            <v>7.08</v>
          </cell>
          <cell r="R278">
            <v>3.33</v>
          </cell>
          <cell r="S278">
            <v>34</v>
          </cell>
          <cell r="T278">
            <v>240.72</v>
          </cell>
          <cell r="V278">
            <v>7.2215999999999996</v>
          </cell>
          <cell r="W278">
            <v>233.4984</v>
          </cell>
          <cell r="X278">
            <v>2.35</v>
          </cell>
          <cell r="Y278">
            <v>235.8484</v>
          </cell>
        </row>
        <row r="279">
          <cell r="A279" t="str">
            <v>5440-1</v>
          </cell>
          <cell r="B279">
            <v>41713</v>
          </cell>
          <cell r="C279" t="str">
            <v>2014</v>
          </cell>
          <cell r="D279" t="str">
            <v>Toby Swindell</v>
          </cell>
          <cell r="E279" t="str">
            <v>273 George Street,Sydney</v>
          </cell>
          <cell r="F279" t="str">
            <v>Sydney</v>
          </cell>
          <cell r="G279" t="str">
            <v>NSW</v>
          </cell>
          <cell r="H279" t="str">
            <v>Small Business</v>
          </cell>
          <cell r="I279" t="str">
            <v>Leighton Forrest</v>
          </cell>
          <cell r="J279" t="str">
            <v>Critical</v>
          </cell>
          <cell r="K279" t="str">
            <v>Binder Posts</v>
          </cell>
          <cell r="L279" t="str">
            <v>Office Supplies</v>
          </cell>
          <cell r="M279" t="str">
            <v>Small Box</v>
          </cell>
          <cell r="N279" t="str">
            <v>Regular Air</v>
          </cell>
          <cell r="O279">
            <v>41713</v>
          </cell>
          <cell r="P279">
            <v>3.5</v>
          </cell>
          <cell r="Q279">
            <v>5.74</v>
          </cell>
          <cell r="R279">
            <v>2.2400000000000002</v>
          </cell>
          <cell r="S279">
            <v>45</v>
          </cell>
          <cell r="T279">
            <v>258.3</v>
          </cell>
          <cell r="V279">
            <v>0</v>
          </cell>
          <cell r="W279">
            <v>258.3</v>
          </cell>
          <cell r="X279">
            <v>5.01</v>
          </cell>
          <cell r="Y279">
            <v>263.31</v>
          </cell>
        </row>
        <row r="280">
          <cell r="A280" t="str">
            <v>5442-1</v>
          </cell>
          <cell r="B280">
            <v>41715</v>
          </cell>
          <cell r="C280" t="str">
            <v>2014</v>
          </cell>
          <cell r="D280" t="str">
            <v>Troy Blackwell</v>
          </cell>
          <cell r="E280" t="str">
            <v>3/219 Canley Vale Road,Canley Heights</v>
          </cell>
          <cell r="F280" t="str">
            <v>Sydney</v>
          </cell>
          <cell r="G280" t="str">
            <v>NSW</v>
          </cell>
          <cell r="H280" t="str">
            <v>Home Office</v>
          </cell>
          <cell r="I280" t="str">
            <v>Mihael Khan</v>
          </cell>
          <cell r="J280" t="str">
            <v>Critical</v>
          </cell>
          <cell r="K280" t="str">
            <v>12 Colored Short Pencils</v>
          </cell>
          <cell r="L280" t="str">
            <v>Office Supplies</v>
          </cell>
          <cell r="M280" t="str">
            <v>Wrap Bag</v>
          </cell>
          <cell r="N280" t="str">
            <v>Regular Air</v>
          </cell>
          <cell r="O280">
            <v>41716</v>
          </cell>
          <cell r="P280">
            <v>1.0900000000000001</v>
          </cell>
          <cell r="Q280">
            <v>2.6</v>
          </cell>
          <cell r="R280">
            <v>1.51</v>
          </cell>
          <cell r="S280">
            <v>43</v>
          </cell>
          <cell r="T280">
            <v>111.8</v>
          </cell>
          <cell r="V280">
            <v>1.1180000000000001</v>
          </cell>
          <cell r="W280">
            <v>110.682</v>
          </cell>
          <cell r="X280">
            <v>2.4</v>
          </cell>
          <cell r="Y280">
            <v>113.08200000000001</v>
          </cell>
        </row>
        <row r="281">
          <cell r="A281" t="str">
            <v>5444-1</v>
          </cell>
          <cell r="B281">
            <v>41715</v>
          </cell>
          <cell r="C281" t="str">
            <v>2014</v>
          </cell>
          <cell r="D281" t="str">
            <v>Carl Ludwig</v>
          </cell>
          <cell r="E281" t="str">
            <v>1/173-179 Bronte Rd,Waverley</v>
          </cell>
          <cell r="F281" t="str">
            <v>Sydney</v>
          </cell>
          <cell r="G281" t="str">
            <v>NSW</v>
          </cell>
          <cell r="H281" t="str">
            <v>Corporate</v>
          </cell>
          <cell r="I281" t="str">
            <v>Leighton Forrest</v>
          </cell>
          <cell r="J281" t="str">
            <v>Not Specified</v>
          </cell>
          <cell r="K281" t="str">
            <v>Alto Perma 2700 Stacking Storage Drawers</v>
          </cell>
          <cell r="L281" t="str">
            <v>Office Supplies</v>
          </cell>
          <cell r="M281" t="str">
            <v>Small Box</v>
          </cell>
          <cell r="N281" t="str">
            <v>Regular Air</v>
          </cell>
          <cell r="O281">
            <v>41716</v>
          </cell>
          <cell r="P281">
            <v>8.92</v>
          </cell>
          <cell r="Q281">
            <v>29.74</v>
          </cell>
          <cell r="R281">
            <v>20.82</v>
          </cell>
          <cell r="S281">
            <v>25</v>
          </cell>
          <cell r="T281">
            <v>743.5</v>
          </cell>
          <cell r="V281">
            <v>0</v>
          </cell>
          <cell r="W281">
            <v>743.5</v>
          </cell>
          <cell r="X281">
            <v>6.64</v>
          </cell>
          <cell r="Y281">
            <v>750.14</v>
          </cell>
        </row>
        <row r="282">
          <cell r="A282" t="str">
            <v>5445-1</v>
          </cell>
          <cell r="B282">
            <v>41715</v>
          </cell>
          <cell r="C282" t="str">
            <v>2014</v>
          </cell>
          <cell r="D282" t="str">
            <v>Chad Cunningham</v>
          </cell>
          <cell r="E282" t="str">
            <v>499-501 Lygon Street,Carlton North</v>
          </cell>
          <cell r="F282" t="str">
            <v>Melbourne</v>
          </cell>
          <cell r="G282" t="str">
            <v>VIC</v>
          </cell>
          <cell r="H282" t="str">
            <v>Small Business</v>
          </cell>
          <cell r="I282" t="str">
            <v>Yvette Biti</v>
          </cell>
          <cell r="J282" t="str">
            <v>Not Specified</v>
          </cell>
          <cell r="K282" t="str">
            <v>Smiths Colored Bar Computer Paper</v>
          </cell>
          <cell r="L282" t="str">
            <v>Office Supplies</v>
          </cell>
          <cell r="M282" t="str">
            <v>Small Box</v>
          </cell>
          <cell r="N282" t="str">
            <v>Regular Air</v>
          </cell>
          <cell r="O282">
            <v>41716</v>
          </cell>
          <cell r="P282">
            <v>21.97</v>
          </cell>
          <cell r="Q282">
            <v>35.44</v>
          </cell>
          <cell r="R282">
            <v>13.469999999999999</v>
          </cell>
          <cell r="S282">
            <v>21</v>
          </cell>
          <cell r="T282">
            <v>744.24</v>
          </cell>
          <cell r="V282">
            <v>0</v>
          </cell>
          <cell r="W282">
            <v>744.24</v>
          </cell>
          <cell r="X282">
            <v>4.92</v>
          </cell>
          <cell r="Y282">
            <v>749.16</v>
          </cell>
        </row>
        <row r="283">
          <cell r="A283" t="str">
            <v>5446-1</v>
          </cell>
          <cell r="B283">
            <v>41717</v>
          </cell>
          <cell r="C283" t="str">
            <v>2014</v>
          </cell>
          <cell r="D283" t="str">
            <v>Michael Paige</v>
          </cell>
          <cell r="E283" t="str">
            <v>506 Swan Street,Richmond</v>
          </cell>
          <cell r="F283" t="str">
            <v>Melbourne</v>
          </cell>
          <cell r="G283" t="str">
            <v>VIC</v>
          </cell>
          <cell r="H283" t="str">
            <v>Small Business</v>
          </cell>
          <cell r="I283" t="str">
            <v>Connor Betts</v>
          </cell>
          <cell r="J283" t="str">
            <v>Critical</v>
          </cell>
          <cell r="K283" t="str">
            <v>Artisan Poly Binder Pockets</v>
          </cell>
          <cell r="L283" t="str">
            <v>Office Supplies</v>
          </cell>
          <cell r="M283" t="str">
            <v>Small Box</v>
          </cell>
          <cell r="N283" t="str">
            <v>Regular Air</v>
          </cell>
          <cell r="O283">
            <v>41719</v>
          </cell>
          <cell r="P283">
            <v>2.2599999999999998</v>
          </cell>
          <cell r="Q283">
            <v>3.58</v>
          </cell>
          <cell r="R283">
            <v>1.3200000000000003</v>
          </cell>
          <cell r="S283">
            <v>39</v>
          </cell>
          <cell r="T283">
            <v>139.62</v>
          </cell>
          <cell r="V283">
            <v>0</v>
          </cell>
          <cell r="W283">
            <v>139.62</v>
          </cell>
          <cell r="X283">
            <v>5.47</v>
          </cell>
          <cell r="Y283">
            <v>145.09</v>
          </cell>
        </row>
        <row r="284">
          <cell r="A284" t="str">
            <v>5448-1</v>
          </cell>
          <cell r="B284">
            <v>41719</v>
          </cell>
          <cell r="C284" t="str">
            <v>2014</v>
          </cell>
          <cell r="D284" t="str">
            <v>Justin Ellison</v>
          </cell>
          <cell r="E284" t="str">
            <v>163 Concord Road,North Strathfield</v>
          </cell>
          <cell r="F284" t="str">
            <v>Sydney</v>
          </cell>
          <cell r="G284" t="str">
            <v>NSW</v>
          </cell>
          <cell r="H284" t="str">
            <v>Home Office</v>
          </cell>
          <cell r="I284" t="str">
            <v>Charlie Bui</v>
          </cell>
          <cell r="J284" t="str">
            <v>Low</v>
          </cell>
          <cell r="K284" t="str">
            <v>Artisan 481 Labels</v>
          </cell>
          <cell r="L284" t="str">
            <v>Office Supplies</v>
          </cell>
          <cell r="M284" t="str">
            <v>Small Box</v>
          </cell>
          <cell r="N284" t="str">
            <v>Regular Air</v>
          </cell>
          <cell r="O284">
            <v>41724</v>
          </cell>
          <cell r="P284">
            <v>1.94</v>
          </cell>
          <cell r="Q284">
            <v>3.08</v>
          </cell>
          <cell r="R284">
            <v>1.1400000000000001</v>
          </cell>
          <cell r="S284">
            <v>5</v>
          </cell>
          <cell r="T284">
            <v>15.4</v>
          </cell>
          <cell r="V284">
            <v>0.92399999999999993</v>
          </cell>
          <cell r="W284">
            <v>14.476000000000001</v>
          </cell>
          <cell r="X284">
            <v>0.99</v>
          </cell>
          <cell r="Y284">
            <v>15.466000000000001</v>
          </cell>
        </row>
        <row r="285">
          <cell r="A285" t="str">
            <v>5449-1</v>
          </cell>
          <cell r="B285">
            <v>41726</v>
          </cell>
          <cell r="C285" t="str">
            <v>2014</v>
          </cell>
          <cell r="D285" t="str">
            <v>Dionis Lloyd</v>
          </cell>
          <cell r="E285" t="str">
            <v>85-113 Dunning Ave,Rosebery</v>
          </cell>
          <cell r="F285" t="str">
            <v>Sydney</v>
          </cell>
          <cell r="G285" t="str">
            <v>NSW</v>
          </cell>
          <cell r="H285" t="str">
            <v>Small Business</v>
          </cell>
          <cell r="I285" t="str">
            <v>Mihael Khan</v>
          </cell>
          <cell r="J285" t="str">
            <v>High</v>
          </cell>
          <cell r="K285" t="str">
            <v>Brown Kraft Recycled Envelopes</v>
          </cell>
          <cell r="L285" t="str">
            <v>Office Supplies</v>
          </cell>
          <cell r="M285" t="str">
            <v>Small Box</v>
          </cell>
          <cell r="N285" t="str">
            <v>Regular Air</v>
          </cell>
          <cell r="O285">
            <v>41726</v>
          </cell>
          <cell r="P285">
            <v>11.04</v>
          </cell>
          <cell r="Q285">
            <v>16.98</v>
          </cell>
          <cell r="R285">
            <v>5.9400000000000013</v>
          </cell>
          <cell r="S285">
            <v>31</v>
          </cell>
          <cell r="T285">
            <v>526.38</v>
          </cell>
          <cell r="V285">
            <v>15.791399999999999</v>
          </cell>
          <cell r="W285">
            <v>510.58859999999999</v>
          </cell>
          <cell r="X285">
            <v>12.39</v>
          </cell>
          <cell r="Y285">
            <v>522.97860000000003</v>
          </cell>
        </row>
        <row r="286">
          <cell r="A286" t="str">
            <v>5450-1</v>
          </cell>
          <cell r="B286">
            <v>41727</v>
          </cell>
          <cell r="C286" t="str">
            <v>2014</v>
          </cell>
          <cell r="D286" t="str">
            <v>Ralph Knight</v>
          </cell>
          <cell r="E286" t="str">
            <v>5/63-71 Enmore Rd,Newtown</v>
          </cell>
          <cell r="F286" t="str">
            <v>Sydney</v>
          </cell>
          <cell r="G286" t="str">
            <v>NSW</v>
          </cell>
          <cell r="H286" t="str">
            <v>Consumer</v>
          </cell>
          <cell r="I286" t="str">
            <v>Charlie Bui</v>
          </cell>
          <cell r="J286" t="str">
            <v>Not Specified</v>
          </cell>
          <cell r="K286" t="str">
            <v>Angle-D Binders with Locking Rings, Label Holders</v>
          </cell>
          <cell r="L286" t="str">
            <v>Office Supplies</v>
          </cell>
          <cell r="M286" t="str">
            <v>Small Box</v>
          </cell>
          <cell r="N286" t="str">
            <v>Regular Air</v>
          </cell>
          <cell r="O286">
            <v>41728</v>
          </cell>
          <cell r="P286">
            <v>4.53</v>
          </cell>
          <cell r="Q286">
            <v>7.3</v>
          </cell>
          <cell r="R286">
            <v>2.7699999999999996</v>
          </cell>
          <cell r="S286">
            <v>18</v>
          </cell>
          <cell r="T286">
            <v>131.4</v>
          </cell>
          <cell r="V286">
            <v>6.57</v>
          </cell>
          <cell r="W286">
            <v>124.83000000000001</v>
          </cell>
          <cell r="X286">
            <v>7.72</v>
          </cell>
          <cell r="Y286">
            <v>132.55000000000001</v>
          </cell>
        </row>
        <row r="287">
          <cell r="A287" t="str">
            <v>5451-1</v>
          </cell>
          <cell r="B287">
            <v>41729</v>
          </cell>
          <cell r="C287" t="str">
            <v>2014</v>
          </cell>
          <cell r="D287" t="str">
            <v>Roland Murray</v>
          </cell>
          <cell r="E287" t="str">
            <v>Westfield 1 Anderson St,Chatswood</v>
          </cell>
          <cell r="F287" t="str">
            <v>Sydney</v>
          </cell>
          <cell r="G287" t="str">
            <v>NSW</v>
          </cell>
          <cell r="H287" t="str">
            <v>Home Office</v>
          </cell>
          <cell r="I287" t="str">
            <v>Nicholas Fernandes</v>
          </cell>
          <cell r="J287" t="str">
            <v>Not Specified</v>
          </cell>
          <cell r="K287" t="str">
            <v>DrawIt Colored Pencils</v>
          </cell>
          <cell r="L287" t="str">
            <v>Office Supplies</v>
          </cell>
          <cell r="M287" t="str">
            <v>Wrap Bag</v>
          </cell>
          <cell r="N287" t="str">
            <v>Regular Air</v>
          </cell>
          <cell r="O287">
            <v>41729</v>
          </cell>
          <cell r="P287">
            <v>4.37</v>
          </cell>
          <cell r="Q287">
            <v>9.11</v>
          </cell>
          <cell r="R287">
            <v>4.7399999999999993</v>
          </cell>
          <cell r="S287">
            <v>1</v>
          </cell>
          <cell r="T287">
            <v>9.11</v>
          </cell>
          <cell r="V287">
            <v>0.91100000000000003</v>
          </cell>
          <cell r="W287">
            <v>8.1989999999999998</v>
          </cell>
          <cell r="X287">
            <v>2.25</v>
          </cell>
          <cell r="Y287">
            <v>10.449</v>
          </cell>
        </row>
        <row r="288">
          <cell r="A288" t="str">
            <v>5453-1</v>
          </cell>
          <cell r="B288">
            <v>41730</v>
          </cell>
          <cell r="C288" t="str">
            <v>2014</v>
          </cell>
          <cell r="D288" t="str">
            <v>Anne Pryor</v>
          </cell>
          <cell r="E288" t="str">
            <v>101 Murray Street, Perth</v>
          </cell>
          <cell r="F288" t="str">
            <v>Sydney</v>
          </cell>
          <cell r="G288" t="str">
            <v>NSW</v>
          </cell>
          <cell r="H288" t="str">
            <v>Consumer</v>
          </cell>
          <cell r="I288" t="str">
            <v>Aanya Zhang</v>
          </cell>
          <cell r="J288" t="str">
            <v>Critical</v>
          </cell>
          <cell r="K288" t="str">
            <v>Steady 52201 APSCO Electric Pencil Sharpener</v>
          </cell>
          <cell r="L288" t="str">
            <v>Office Supplies</v>
          </cell>
          <cell r="M288" t="str">
            <v>Small Pack</v>
          </cell>
          <cell r="N288" t="str">
            <v>Regular Air</v>
          </cell>
          <cell r="O288">
            <v>41731</v>
          </cell>
          <cell r="P288">
            <v>16.8</v>
          </cell>
          <cell r="Q288">
            <v>40.97</v>
          </cell>
          <cell r="R288">
            <v>24.169999999999998</v>
          </cell>
          <cell r="S288">
            <v>44</v>
          </cell>
          <cell r="T288">
            <v>1802.6799999999998</v>
          </cell>
          <cell r="V288">
            <v>144.21439999999998</v>
          </cell>
          <cell r="W288">
            <v>1658.4655999999998</v>
          </cell>
          <cell r="X288">
            <v>8.99</v>
          </cell>
          <cell r="Y288">
            <v>1667.4555999999998</v>
          </cell>
        </row>
        <row r="289">
          <cell r="A289" t="str">
            <v>5455-1</v>
          </cell>
          <cell r="B289">
            <v>41731</v>
          </cell>
          <cell r="C289" t="str">
            <v>2014</v>
          </cell>
          <cell r="D289" t="str">
            <v>Rob Haberlin</v>
          </cell>
          <cell r="E289" t="str">
            <v>8 Rankins Lane ,Melbourne</v>
          </cell>
          <cell r="F289" t="str">
            <v>Melbourne</v>
          </cell>
          <cell r="G289" t="str">
            <v>VIC</v>
          </cell>
          <cell r="H289" t="str">
            <v>Corporate</v>
          </cell>
          <cell r="I289" t="str">
            <v>Connor Betts</v>
          </cell>
          <cell r="J289" t="str">
            <v>Medium</v>
          </cell>
          <cell r="K289" t="str">
            <v>Alto Perma 3000 Stacking Storage Drawers</v>
          </cell>
          <cell r="L289" t="str">
            <v>Office Supplies</v>
          </cell>
          <cell r="M289" t="str">
            <v>Small Box</v>
          </cell>
          <cell r="N289" t="str">
            <v>Regular Air</v>
          </cell>
          <cell r="O289">
            <v>41733</v>
          </cell>
          <cell r="P289">
            <v>7.13</v>
          </cell>
          <cell r="Q289">
            <v>20.98</v>
          </cell>
          <cell r="R289">
            <v>13.850000000000001</v>
          </cell>
          <cell r="S289">
            <v>39</v>
          </cell>
          <cell r="T289">
            <v>818.22</v>
          </cell>
          <cell r="V289">
            <v>32.7288</v>
          </cell>
          <cell r="W289">
            <v>785.49120000000005</v>
          </cell>
          <cell r="X289">
            <v>5.42</v>
          </cell>
          <cell r="Y289">
            <v>790.91120000000001</v>
          </cell>
        </row>
        <row r="290">
          <cell r="A290" t="str">
            <v>5456-1</v>
          </cell>
          <cell r="B290">
            <v>41731</v>
          </cell>
          <cell r="C290" t="str">
            <v>2014</v>
          </cell>
          <cell r="D290" t="str">
            <v>Patrick Bzostek</v>
          </cell>
          <cell r="E290" t="str">
            <v>1/50-58 Hunter St,Sydney</v>
          </cell>
          <cell r="F290" t="str">
            <v>Sydney</v>
          </cell>
          <cell r="G290" t="str">
            <v>NSW</v>
          </cell>
          <cell r="H290" t="str">
            <v>Consumer</v>
          </cell>
          <cell r="I290" t="str">
            <v>Preston Senome</v>
          </cell>
          <cell r="J290" t="str">
            <v>Critical</v>
          </cell>
          <cell r="K290" t="str">
            <v>Barrel Sharpener</v>
          </cell>
          <cell r="L290" t="str">
            <v>Office Supplies</v>
          </cell>
          <cell r="M290" t="str">
            <v>Small Pack</v>
          </cell>
          <cell r="N290" t="str">
            <v>Regular Air</v>
          </cell>
          <cell r="O290">
            <v>41733</v>
          </cell>
          <cell r="P290">
            <v>1.46</v>
          </cell>
          <cell r="Q290">
            <v>3.57</v>
          </cell>
          <cell r="R290">
            <v>2.11</v>
          </cell>
          <cell r="S290">
            <v>41</v>
          </cell>
          <cell r="T290">
            <v>146.37</v>
          </cell>
          <cell r="V290">
            <v>4.3910999999999998</v>
          </cell>
          <cell r="W290">
            <v>141.97890000000001</v>
          </cell>
          <cell r="X290">
            <v>4.17</v>
          </cell>
          <cell r="Y290">
            <v>146.1489</v>
          </cell>
        </row>
        <row r="291">
          <cell r="A291" t="str">
            <v>5457-1</v>
          </cell>
          <cell r="B291">
            <v>41732</v>
          </cell>
          <cell r="C291" t="str">
            <v>2014</v>
          </cell>
          <cell r="D291" t="str">
            <v>Alex Grayson</v>
          </cell>
          <cell r="E291" t="str">
            <v>73 Lindsay Street, Perth</v>
          </cell>
          <cell r="F291" t="str">
            <v>Sydney</v>
          </cell>
          <cell r="G291" t="str">
            <v>NSW</v>
          </cell>
          <cell r="H291" t="str">
            <v>Consumer</v>
          </cell>
          <cell r="I291" t="str">
            <v>Radhya Staples</v>
          </cell>
          <cell r="J291" t="str">
            <v>Medium</v>
          </cell>
          <cell r="K291" t="str">
            <v>OIC Bulk Pack Metal Binder Clips</v>
          </cell>
          <cell r="L291" t="str">
            <v>Office Supplies</v>
          </cell>
          <cell r="M291" t="str">
            <v>Wrap Bag</v>
          </cell>
          <cell r="N291" t="str">
            <v>Regular Air</v>
          </cell>
          <cell r="O291">
            <v>41734</v>
          </cell>
          <cell r="P291">
            <v>2.13</v>
          </cell>
          <cell r="Q291">
            <v>3.49</v>
          </cell>
          <cell r="R291">
            <v>1.3600000000000003</v>
          </cell>
          <cell r="S291">
            <v>46</v>
          </cell>
          <cell r="T291">
            <v>160.54000000000002</v>
          </cell>
          <cell r="V291">
            <v>1.6054000000000002</v>
          </cell>
          <cell r="W291">
            <v>158.93460000000002</v>
          </cell>
          <cell r="X291">
            <v>0.76</v>
          </cell>
          <cell r="Y291">
            <v>159.69460000000001</v>
          </cell>
        </row>
        <row r="292">
          <cell r="A292" t="str">
            <v>5458-1</v>
          </cell>
          <cell r="B292">
            <v>41733</v>
          </cell>
          <cell r="C292" t="str">
            <v>2014</v>
          </cell>
          <cell r="D292" t="str">
            <v>Jesus Ocampo</v>
          </cell>
          <cell r="E292" t="str">
            <v>60 Commercial Rd,Prahran</v>
          </cell>
          <cell r="F292" t="str">
            <v>Melbourne</v>
          </cell>
          <cell r="G292" t="str">
            <v>VIC</v>
          </cell>
          <cell r="H292" t="str">
            <v>Small Business</v>
          </cell>
          <cell r="I292" t="str">
            <v>Yvette Biti</v>
          </cell>
          <cell r="J292" t="str">
            <v>Not Specified</v>
          </cell>
          <cell r="K292" t="str">
            <v>Artisan 48 Labels</v>
          </cell>
          <cell r="L292" t="str">
            <v>Office Supplies</v>
          </cell>
          <cell r="M292" t="str">
            <v>Small Box</v>
          </cell>
          <cell r="N292" t="str">
            <v>Regular Air</v>
          </cell>
          <cell r="O292">
            <v>41734</v>
          </cell>
          <cell r="P292">
            <v>3.84</v>
          </cell>
          <cell r="Q292">
            <v>6.3</v>
          </cell>
          <cell r="R292">
            <v>2.46</v>
          </cell>
          <cell r="S292">
            <v>18</v>
          </cell>
          <cell r="T292">
            <v>113.39999999999999</v>
          </cell>
          <cell r="V292">
            <v>11.34</v>
          </cell>
          <cell r="W292">
            <v>102.05999999999999</v>
          </cell>
          <cell r="X292">
            <v>0.5</v>
          </cell>
          <cell r="Y292">
            <v>102.55999999999999</v>
          </cell>
        </row>
        <row r="293">
          <cell r="A293" t="str">
            <v>5460-1</v>
          </cell>
          <cell r="B293">
            <v>41735</v>
          </cell>
          <cell r="C293" t="str">
            <v>2014</v>
          </cell>
          <cell r="D293" t="str">
            <v>Steve Chapman</v>
          </cell>
          <cell r="E293" t="str">
            <v>1/50-58 Hunter St,Sydney</v>
          </cell>
          <cell r="F293" t="str">
            <v>Sydney</v>
          </cell>
          <cell r="G293" t="str">
            <v>NSW</v>
          </cell>
          <cell r="H293" t="str">
            <v>Corporate</v>
          </cell>
          <cell r="I293" t="str">
            <v>Preston Senome</v>
          </cell>
          <cell r="J293" t="str">
            <v>Low</v>
          </cell>
          <cell r="K293" t="str">
            <v>Artisan Hi-Liter Comfort Grip Fluorescent Highlighter, Yellow Ink</v>
          </cell>
          <cell r="L293" t="str">
            <v>Office Supplies</v>
          </cell>
          <cell r="M293" t="str">
            <v>Wrap Bag</v>
          </cell>
          <cell r="N293" t="str">
            <v>Regular Air</v>
          </cell>
          <cell r="O293">
            <v>41740</v>
          </cell>
          <cell r="P293">
            <v>1.05</v>
          </cell>
          <cell r="Q293">
            <v>1.95</v>
          </cell>
          <cell r="R293">
            <v>0.89999999999999991</v>
          </cell>
          <cell r="S293">
            <v>31</v>
          </cell>
          <cell r="T293">
            <v>60.449999999999996</v>
          </cell>
          <cell r="V293">
            <v>1.2089999999999999</v>
          </cell>
          <cell r="W293">
            <v>59.240999999999993</v>
          </cell>
          <cell r="X293">
            <v>1.63</v>
          </cell>
          <cell r="Y293">
            <v>60.870999999999995</v>
          </cell>
        </row>
        <row r="294">
          <cell r="A294" t="str">
            <v>5461-1</v>
          </cell>
          <cell r="B294">
            <v>41736</v>
          </cell>
          <cell r="C294" t="str">
            <v>2014</v>
          </cell>
          <cell r="D294" t="str">
            <v>Mike Kennedy</v>
          </cell>
          <cell r="E294" t="str">
            <v>99 Lygon Street,East Brunswick</v>
          </cell>
          <cell r="F294" t="str">
            <v>Melbourne</v>
          </cell>
          <cell r="G294" t="str">
            <v>VIC</v>
          </cell>
          <cell r="H294" t="str">
            <v>Corporate</v>
          </cell>
          <cell r="I294" t="str">
            <v>Connor Betts</v>
          </cell>
          <cell r="J294" t="str">
            <v>Critical</v>
          </cell>
          <cell r="K294" t="str">
            <v>Bagged Rubber Bands</v>
          </cell>
          <cell r="L294" t="str">
            <v>Office Supplies</v>
          </cell>
          <cell r="M294" t="str">
            <v>Wrap Bag</v>
          </cell>
          <cell r="N294" t="str">
            <v>Regular Air</v>
          </cell>
          <cell r="O294">
            <v>41736</v>
          </cell>
          <cell r="P294">
            <v>0.24</v>
          </cell>
          <cell r="Q294">
            <v>1.26</v>
          </cell>
          <cell r="R294">
            <v>1.02</v>
          </cell>
          <cell r="S294">
            <v>35</v>
          </cell>
          <cell r="T294">
            <v>44.1</v>
          </cell>
          <cell r="V294">
            <v>3.9689999999999999</v>
          </cell>
          <cell r="W294">
            <v>40.131</v>
          </cell>
          <cell r="X294">
            <v>0.7</v>
          </cell>
          <cell r="Y294">
            <v>40.831000000000003</v>
          </cell>
        </row>
        <row r="295">
          <cell r="A295" t="str">
            <v>5463-1</v>
          </cell>
          <cell r="B295">
            <v>41736</v>
          </cell>
          <cell r="C295" t="str">
            <v>2014</v>
          </cell>
          <cell r="D295" t="str">
            <v>Carlos Daly</v>
          </cell>
          <cell r="E295" t="str">
            <v>5/63-71 Enmore Rd,Newtown</v>
          </cell>
          <cell r="F295" t="str">
            <v>Sydney</v>
          </cell>
          <cell r="G295" t="str">
            <v>NSW</v>
          </cell>
          <cell r="H295" t="str">
            <v>Home Office</v>
          </cell>
          <cell r="I295" t="str">
            <v>Charlie Bui</v>
          </cell>
          <cell r="J295" t="str">
            <v>Not Specified</v>
          </cell>
          <cell r="K295" t="str">
            <v>Emerson Stylus 1520 Color Inkjet Printer</v>
          </cell>
          <cell r="L295" t="str">
            <v>Technology</v>
          </cell>
          <cell r="M295" t="str">
            <v>Jumbo Drum</v>
          </cell>
          <cell r="N295" t="str">
            <v>Delivery Truck</v>
          </cell>
          <cell r="O295">
            <v>41736</v>
          </cell>
          <cell r="P295">
            <v>315.61</v>
          </cell>
          <cell r="Q295">
            <v>500.97</v>
          </cell>
          <cell r="R295">
            <v>185.36</v>
          </cell>
          <cell r="S295">
            <v>31</v>
          </cell>
          <cell r="T295">
            <v>15530.070000000002</v>
          </cell>
          <cell r="V295">
            <v>931.80420000000004</v>
          </cell>
          <cell r="W295">
            <v>14598.265800000001</v>
          </cell>
          <cell r="X295">
            <v>69.3</v>
          </cell>
          <cell r="Y295">
            <v>14667.5658</v>
          </cell>
        </row>
        <row r="296">
          <cell r="A296" t="str">
            <v>5465-1</v>
          </cell>
          <cell r="B296">
            <v>41736</v>
          </cell>
          <cell r="C296" t="str">
            <v>2014</v>
          </cell>
          <cell r="D296" t="str">
            <v>Harold Dahlen</v>
          </cell>
          <cell r="E296" t="str">
            <v>53-55 Liverpool St,Sydney</v>
          </cell>
          <cell r="F296" t="str">
            <v>Sydney</v>
          </cell>
          <cell r="G296" t="str">
            <v>NSW</v>
          </cell>
          <cell r="H296" t="str">
            <v>Corporate</v>
          </cell>
          <cell r="I296" t="str">
            <v>Tina Carlton</v>
          </cell>
          <cell r="J296" t="str">
            <v>Medium</v>
          </cell>
          <cell r="K296" t="str">
            <v>HFX LaserJet 3310 Copier</v>
          </cell>
          <cell r="L296" t="str">
            <v>Technology</v>
          </cell>
          <cell r="M296" t="str">
            <v>Large Box</v>
          </cell>
          <cell r="N296" t="str">
            <v>Regular Air</v>
          </cell>
          <cell r="O296">
            <v>41738</v>
          </cell>
          <cell r="P296">
            <v>377.99</v>
          </cell>
          <cell r="Q296">
            <v>599.99</v>
          </cell>
          <cell r="R296">
            <v>222</v>
          </cell>
          <cell r="S296">
            <v>30</v>
          </cell>
          <cell r="T296">
            <v>17999.7</v>
          </cell>
          <cell r="V296">
            <v>1619.973</v>
          </cell>
          <cell r="W296">
            <v>16379.727000000001</v>
          </cell>
          <cell r="X296">
            <v>24.49</v>
          </cell>
          <cell r="Y296">
            <v>16404.217000000001</v>
          </cell>
        </row>
        <row r="297">
          <cell r="A297" t="str">
            <v>5467-1</v>
          </cell>
          <cell r="B297">
            <v>41740</v>
          </cell>
          <cell r="C297" t="str">
            <v>2014</v>
          </cell>
          <cell r="D297" t="str">
            <v>Brenda Bowman</v>
          </cell>
          <cell r="E297" t="str">
            <v>73 York St,Sydney</v>
          </cell>
          <cell r="F297" t="str">
            <v>Sydney</v>
          </cell>
          <cell r="G297" t="str">
            <v>NSW</v>
          </cell>
          <cell r="H297" t="str">
            <v>Small Business</v>
          </cell>
          <cell r="I297" t="str">
            <v>Tina Carlton</v>
          </cell>
          <cell r="J297" t="str">
            <v>Medium</v>
          </cell>
          <cell r="K297" t="str">
            <v>12 Colored Short Pencils</v>
          </cell>
          <cell r="L297" t="str">
            <v>Office Supplies</v>
          </cell>
          <cell r="M297" t="str">
            <v>Wrap Bag</v>
          </cell>
          <cell r="N297" t="str">
            <v>Regular Air</v>
          </cell>
          <cell r="O297">
            <v>41741</v>
          </cell>
          <cell r="P297">
            <v>1.0900000000000001</v>
          </cell>
          <cell r="Q297">
            <v>2.6</v>
          </cell>
          <cell r="R297">
            <v>1.51</v>
          </cell>
          <cell r="S297">
            <v>2</v>
          </cell>
          <cell r="T297">
            <v>5.2</v>
          </cell>
          <cell r="V297">
            <v>0.156</v>
          </cell>
          <cell r="W297">
            <v>5.0440000000000005</v>
          </cell>
          <cell r="X297">
            <v>2.4</v>
          </cell>
          <cell r="Y297">
            <v>7.4440000000000008</v>
          </cell>
        </row>
        <row r="298">
          <cell r="A298" t="str">
            <v>5469-1</v>
          </cell>
          <cell r="B298">
            <v>41744</v>
          </cell>
          <cell r="C298" t="str">
            <v>2014</v>
          </cell>
          <cell r="D298" t="str">
            <v>Xylona Price</v>
          </cell>
          <cell r="E298" t="str">
            <v>98-104 Parramatta Rd,Camperdown</v>
          </cell>
          <cell r="F298" t="str">
            <v>Sydney</v>
          </cell>
          <cell r="G298" t="str">
            <v>NSW</v>
          </cell>
          <cell r="H298" t="str">
            <v>Corporate</v>
          </cell>
          <cell r="I298" t="str">
            <v>Phoebe Gour</v>
          </cell>
          <cell r="J298" t="str">
            <v>High</v>
          </cell>
          <cell r="K298" t="str">
            <v>TechSavi Internet Navigator Keyboard</v>
          </cell>
          <cell r="L298" t="str">
            <v>Technology</v>
          </cell>
          <cell r="M298" t="str">
            <v>Small Box</v>
          </cell>
          <cell r="N298" t="str">
            <v>Regular Air</v>
          </cell>
          <cell r="O298">
            <v>41745</v>
          </cell>
          <cell r="P298">
            <v>6.51</v>
          </cell>
          <cell r="Q298">
            <v>30.98</v>
          </cell>
          <cell r="R298">
            <v>24.47</v>
          </cell>
          <cell r="S298">
            <v>36</v>
          </cell>
          <cell r="T298">
            <v>1115.28</v>
          </cell>
          <cell r="V298">
            <v>0</v>
          </cell>
          <cell r="W298">
            <v>1115.28</v>
          </cell>
          <cell r="X298">
            <v>6.5</v>
          </cell>
          <cell r="Y298">
            <v>1121.78</v>
          </cell>
        </row>
        <row r="299">
          <cell r="A299" t="str">
            <v>5470-1</v>
          </cell>
          <cell r="B299">
            <v>41746</v>
          </cell>
          <cell r="C299" t="str">
            <v>2014</v>
          </cell>
          <cell r="D299" t="str">
            <v>Kelly Collister</v>
          </cell>
          <cell r="E299" t="str">
            <v>499-501 Lygon Street,Carlton North</v>
          </cell>
          <cell r="F299" t="str">
            <v>Melbourne</v>
          </cell>
          <cell r="G299" t="str">
            <v>VIC</v>
          </cell>
          <cell r="H299" t="str">
            <v>Consumer</v>
          </cell>
          <cell r="I299" t="str">
            <v>Yvette Biti</v>
          </cell>
          <cell r="J299" t="str">
            <v>High</v>
          </cell>
          <cell r="K299" t="str">
            <v>Alto Parchment Paper, Assorted Colors</v>
          </cell>
          <cell r="L299" t="str">
            <v>Office Supplies</v>
          </cell>
          <cell r="M299" t="str">
            <v>Small Box</v>
          </cell>
          <cell r="N299" t="str">
            <v>Regular Air</v>
          </cell>
          <cell r="O299">
            <v>41748</v>
          </cell>
          <cell r="P299">
            <v>4.59</v>
          </cell>
          <cell r="Q299">
            <v>7.28</v>
          </cell>
          <cell r="R299">
            <v>2.6900000000000004</v>
          </cell>
          <cell r="S299">
            <v>11</v>
          </cell>
          <cell r="T299">
            <v>80.08</v>
          </cell>
          <cell r="V299">
            <v>5.6056000000000008</v>
          </cell>
          <cell r="W299">
            <v>74.474400000000003</v>
          </cell>
          <cell r="X299">
            <v>11.15</v>
          </cell>
          <cell r="Y299">
            <v>85.624400000000009</v>
          </cell>
        </row>
        <row r="300">
          <cell r="A300" t="str">
            <v>5471-1</v>
          </cell>
          <cell r="B300">
            <v>41746</v>
          </cell>
          <cell r="C300" t="str">
            <v>2014</v>
          </cell>
          <cell r="D300" t="str">
            <v>Dean Percer</v>
          </cell>
          <cell r="E300" t="str">
            <v>222 Barkly St,St Kilda</v>
          </cell>
          <cell r="F300" t="str">
            <v>Melbourne</v>
          </cell>
          <cell r="G300" t="str">
            <v>VIC</v>
          </cell>
          <cell r="H300" t="str">
            <v>Home Office</v>
          </cell>
          <cell r="I300" t="str">
            <v>Yvette Biti</v>
          </cell>
          <cell r="J300" t="str">
            <v>Medium</v>
          </cell>
          <cell r="K300" t="str">
            <v>Apex Box Cutter Scissors</v>
          </cell>
          <cell r="L300" t="str">
            <v>Office Supplies</v>
          </cell>
          <cell r="M300" t="str">
            <v>Small Pack</v>
          </cell>
          <cell r="N300" t="str">
            <v>Regular Air</v>
          </cell>
          <cell r="O300">
            <v>41747</v>
          </cell>
          <cell r="P300">
            <v>4.1900000000000004</v>
          </cell>
          <cell r="Q300">
            <v>10.23</v>
          </cell>
          <cell r="R300">
            <v>6.04</v>
          </cell>
          <cell r="S300">
            <v>22</v>
          </cell>
          <cell r="T300">
            <v>225.06</v>
          </cell>
          <cell r="V300">
            <v>15.754200000000001</v>
          </cell>
          <cell r="W300">
            <v>209.3058</v>
          </cell>
          <cell r="X300">
            <v>4.68</v>
          </cell>
          <cell r="Y300">
            <v>213.98580000000001</v>
          </cell>
        </row>
        <row r="301">
          <cell r="A301" t="str">
            <v>5473-1</v>
          </cell>
          <cell r="B301">
            <v>41746</v>
          </cell>
          <cell r="C301" t="str">
            <v>2014</v>
          </cell>
          <cell r="D301" t="str">
            <v>Anemone Ratner</v>
          </cell>
          <cell r="E301" t="str">
            <v>32 Wellington Street, Perth</v>
          </cell>
          <cell r="F301" t="str">
            <v>Sydney</v>
          </cell>
          <cell r="G301" t="str">
            <v>NSW</v>
          </cell>
          <cell r="H301" t="str">
            <v>Small Business</v>
          </cell>
          <cell r="I301" t="str">
            <v>Stevie Bacata</v>
          </cell>
          <cell r="J301" t="str">
            <v>Critical</v>
          </cell>
          <cell r="K301" t="str">
            <v>Apex Elite Stainless Steel Scissors</v>
          </cell>
          <cell r="L301" t="str">
            <v>Office Supplies</v>
          </cell>
          <cell r="M301" t="str">
            <v>Small Pack</v>
          </cell>
          <cell r="N301" t="str">
            <v>Express Air</v>
          </cell>
          <cell r="O301">
            <v>41747</v>
          </cell>
          <cell r="P301">
            <v>3.42</v>
          </cell>
          <cell r="Q301">
            <v>8.34</v>
          </cell>
          <cell r="R301">
            <v>4.92</v>
          </cell>
          <cell r="S301">
            <v>16</v>
          </cell>
          <cell r="T301">
            <v>133.44</v>
          </cell>
          <cell r="V301">
            <v>5.3376000000000001</v>
          </cell>
          <cell r="W301">
            <v>128.10239999999999</v>
          </cell>
          <cell r="X301">
            <v>2.64</v>
          </cell>
          <cell r="Y301">
            <v>130.74239999999998</v>
          </cell>
        </row>
        <row r="302">
          <cell r="A302" t="str">
            <v>5475-1</v>
          </cell>
          <cell r="B302">
            <v>41761</v>
          </cell>
          <cell r="C302" t="str">
            <v>2014</v>
          </cell>
          <cell r="D302" t="str">
            <v>Brian Stugart</v>
          </cell>
          <cell r="E302" t="str">
            <v>88 Oxford St,Woollahra</v>
          </cell>
          <cell r="F302" t="str">
            <v>Sydney</v>
          </cell>
          <cell r="G302" t="str">
            <v>NSW</v>
          </cell>
          <cell r="H302" t="str">
            <v>Consumer</v>
          </cell>
          <cell r="I302" t="str">
            <v>Charlie Bui</v>
          </cell>
          <cell r="J302" t="str">
            <v>Low</v>
          </cell>
          <cell r="K302" t="str">
            <v>24 Capacity Maxi Data Binder Racks, Pearl</v>
          </cell>
          <cell r="L302" t="str">
            <v>Office Supplies</v>
          </cell>
          <cell r="M302" t="str">
            <v>Small Box</v>
          </cell>
          <cell r="N302" t="str">
            <v>Regular Air</v>
          </cell>
          <cell r="O302">
            <v>41763</v>
          </cell>
          <cell r="P302">
            <v>84.22</v>
          </cell>
          <cell r="Q302">
            <v>210.55</v>
          </cell>
          <cell r="R302">
            <v>126.33000000000001</v>
          </cell>
          <cell r="S302">
            <v>32</v>
          </cell>
          <cell r="T302">
            <v>6737.6</v>
          </cell>
          <cell r="V302">
            <v>673.7600000000001</v>
          </cell>
          <cell r="W302">
            <v>6063.84</v>
          </cell>
          <cell r="X302">
            <v>9.99</v>
          </cell>
          <cell r="Y302">
            <v>6073.83</v>
          </cell>
        </row>
        <row r="303">
          <cell r="A303" t="str">
            <v>5476-1</v>
          </cell>
          <cell r="B303">
            <v>41761</v>
          </cell>
          <cell r="C303" t="str">
            <v>2014</v>
          </cell>
          <cell r="D303" t="str">
            <v>Michelle Tran</v>
          </cell>
          <cell r="E303" t="str">
            <v>85-113 Dunning Ave,Roseberry</v>
          </cell>
          <cell r="F303" t="str">
            <v>Sydney</v>
          </cell>
          <cell r="G303" t="str">
            <v>NSW</v>
          </cell>
          <cell r="H303" t="str">
            <v>Corporate</v>
          </cell>
          <cell r="I303" t="str">
            <v>Mihael Khan</v>
          </cell>
          <cell r="J303" t="str">
            <v>Not Specified</v>
          </cell>
          <cell r="K303" t="str">
            <v>Alto Perma 3000 Stacking Storage Drawers</v>
          </cell>
          <cell r="L303" t="str">
            <v>Office Supplies</v>
          </cell>
          <cell r="M303" t="str">
            <v>Small Box</v>
          </cell>
          <cell r="N303" t="str">
            <v>Express Air</v>
          </cell>
          <cell r="O303">
            <v>41762</v>
          </cell>
          <cell r="P303">
            <v>7.13</v>
          </cell>
          <cell r="Q303">
            <v>20.98</v>
          </cell>
          <cell r="R303">
            <v>13.850000000000001</v>
          </cell>
          <cell r="S303">
            <v>14</v>
          </cell>
          <cell r="T303">
            <v>293.72000000000003</v>
          </cell>
          <cell r="V303">
            <v>29.372000000000003</v>
          </cell>
          <cell r="W303">
            <v>264.34800000000001</v>
          </cell>
          <cell r="X303">
            <v>5.42</v>
          </cell>
          <cell r="Y303">
            <v>269.76800000000003</v>
          </cell>
        </row>
        <row r="304">
          <cell r="A304" t="str">
            <v>5477-1</v>
          </cell>
          <cell r="B304">
            <v>41761</v>
          </cell>
          <cell r="C304" t="str">
            <v>2014</v>
          </cell>
          <cell r="D304" t="str">
            <v>Vivek Sundaresam</v>
          </cell>
          <cell r="E304" t="str">
            <v>152 Bunnerong Road,Eastgardens</v>
          </cell>
          <cell r="F304" t="str">
            <v>Sydney</v>
          </cell>
          <cell r="G304" t="str">
            <v>NSW</v>
          </cell>
          <cell r="H304" t="str">
            <v>Home Office</v>
          </cell>
          <cell r="I304" t="str">
            <v>Tina Carlton</v>
          </cell>
          <cell r="J304" t="str">
            <v>Critical</v>
          </cell>
          <cell r="K304" t="str">
            <v>OIC Colored Binder Clips, Assorted Sizes</v>
          </cell>
          <cell r="L304" t="str">
            <v>Office Supplies</v>
          </cell>
          <cell r="M304" t="str">
            <v>Wrap Bag</v>
          </cell>
          <cell r="N304" t="str">
            <v>Regular Air</v>
          </cell>
          <cell r="O304">
            <v>41762</v>
          </cell>
          <cell r="P304">
            <v>2.29</v>
          </cell>
          <cell r="Q304">
            <v>3.58</v>
          </cell>
          <cell r="R304">
            <v>1.29</v>
          </cell>
          <cell r="S304">
            <v>15</v>
          </cell>
          <cell r="T304">
            <v>53.7</v>
          </cell>
          <cell r="V304">
            <v>2.6850000000000005</v>
          </cell>
          <cell r="W304">
            <v>51.015000000000001</v>
          </cell>
          <cell r="X304">
            <v>1.63</v>
          </cell>
          <cell r="Y304">
            <v>52.645000000000003</v>
          </cell>
        </row>
        <row r="305">
          <cell r="A305" t="str">
            <v>5478-1</v>
          </cell>
          <cell r="B305">
            <v>41762</v>
          </cell>
          <cell r="C305" t="str">
            <v>2014</v>
          </cell>
          <cell r="D305" t="str">
            <v>Liz Willingham</v>
          </cell>
          <cell r="E305" t="str">
            <v>60 Commercial Rd,Prahran</v>
          </cell>
          <cell r="F305" t="str">
            <v>Melbourne</v>
          </cell>
          <cell r="G305" t="str">
            <v>VIC</v>
          </cell>
          <cell r="H305" t="str">
            <v>Home Office</v>
          </cell>
          <cell r="I305" t="str">
            <v>Yvette Biti</v>
          </cell>
          <cell r="J305" t="str">
            <v>Low</v>
          </cell>
          <cell r="K305" t="str">
            <v>Steady Liquid Accent Tank-Style Highlighters</v>
          </cell>
          <cell r="L305" t="str">
            <v>Office Supplies</v>
          </cell>
          <cell r="M305" t="str">
            <v>Wrap Bag</v>
          </cell>
          <cell r="N305" t="str">
            <v>Regular Air</v>
          </cell>
          <cell r="O305">
            <v>41766</v>
          </cell>
          <cell r="P305">
            <v>1.31</v>
          </cell>
          <cell r="Q305">
            <v>2.84</v>
          </cell>
          <cell r="R305">
            <v>1.5299999999999998</v>
          </cell>
          <cell r="S305">
            <v>48</v>
          </cell>
          <cell r="T305">
            <v>136.32</v>
          </cell>
          <cell r="V305">
            <v>13.632</v>
          </cell>
          <cell r="W305">
            <v>122.68799999999999</v>
          </cell>
          <cell r="X305">
            <v>0.93</v>
          </cell>
          <cell r="Y305">
            <v>123.61799999999999</v>
          </cell>
        </row>
        <row r="306">
          <cell r="A306" t="str">
            <v>5479-1</v>
          </cell>
          <cell r="B306">
            <v>41765</v>
          </cell>
          <cell r="C306" t="str">
            <v>2014</v>
          </cell>
          <cell r="D306" t="str">
            <v>Tracy Blumstein</v>
          </cell>
          <cell r="E306" t="str">
            <v>Hoyts Entertainment Quarter 122 Lang Road,Moore Park</v>
          </cell>
          <cell r="F306" t="str">
            <v>Sydney</v>
          </cell>
          <cell r="G306" t="str">
            <v>NSW</v>
          </cell>
          <cell r="H306" t="str">
            <v>Home Office</v>
          </cell>
          <cell r="I306" t="str">
            <v>Tina Carlton</v>
          </cell>
          <cell r="J306" t="str">
            <v>Not Specified</v>
          </cell>
          <cell r="K306" t="str">
            <v>Artisan Poly Binder Pockets</v>
          </cell>
          <cell r="L306" t="str">
            <v>Office Supplies</v>
          </cell>
          <cell r="M306" t="str">
            <v>Small Box</v>
          </cell>
          <cell r="N306" t="str">
            <v>Regular Air</v>
          </cell>
          <cell r="O306">
            <v>41767</v>
          </cell>
          <cell r="P306">
            <v>2.2599999999999998</v>
          </cell>
          <cell r="Q306">
            <v>3.58</v>
          </cell>
          <cell r="R306">
            <v>1.3200000000000003</v>
          </cell>
          <cell r="S306">
            <v>25</v>
          </cell>
          <cell r="T306">
            <v>89.5</v>
          </cell>
          <cell r="V306">
            <v>0</v>
          </cell>
          <cell r="W306">
            <v>89.5</v>
          </cell>
          <cell r="X306">
            <v>5.47</v>
          </cell>
          <cell r="Y306">
            <v>94.97</v>
          </cell>
        </row>
        <row r="307">
          <cell r="A307" t="str">
            <v>5479-2</v>
          </cell>
          <cell r="B307">
            <v>41765</v>
          </cell>
          <cell r="C307" t="str">
            <v>2014</v>
          </cell>
          <cell r="D307" t="str">
            <v>Tracy Blumstein</v>
          </cell>
          <cell r="E307" t="str">
            <v>Hoyts Entertainment Quarter 122 Lang Road,Moore Park</v>
          </cell>
          <cell r="F307" t="str">
            <v>Sydney</v>
          </cell>
          <cell r="G307" t="str">
            <v>NSW</v>
          </cell>
          <cell r="H307" t="str">
            <v>Home Office</v>
          </cell>
          <cell r="I307" t="str">
            <v>Tina Carlton</v>
          </cell>
          <cell r="J307" t="str">
            <v>Not Specified</v>
          </cell>
          <cell r="K307" t="str">
            <v>Assorted Color Push Pins</v>
          </cell>
          <cell r="L307" t="str">
            <v>Office Supplies</v>
          </cell>
          <cell r="M307" t="str">
            <v>Wrap Bag</v>
          </cell>
          <cell r="N307" t="str">
            <v>Regular Air</v>
          </cell>
          <cell r="O307">
            <v>41767</v>
          </cell>
          <cell r="P307">
            <v>0.87</v>
          </cell>
          <cell r="Q307">
            <v>1.81</v>
          </cell>
          <cell r="R307">
            <v>0.94000000000000006</v>
          </cell>
          <cell r="S307">
            <v>45</v>
          </cell>
          <cell r="T307">
            <v>81.45</v>
          </cell>
          <cell r="V307">
            <v>6.516</v>
          </cell>
          <cell r="W307">
            <v>74.933999999999997</v>
          </cell>
          <cell r="X307">
            <v>0.75</v>
          </cell>
          <cell r="Y307">
            <v>75.683999999999997</v>
          </cell>
        </row>
        <row r="308">
          <cell r="A308" t="str">
            <v>5483-1</v>
          </cell>
          <cell r="B308">
            <v>41767</v>
          </cell>
          <cell r="C308" t="str">
            <v>2014</v>
          </cell>
          <cell r="D308" t="str">
            <v>Ritsa Hightower</v>
          </cell>
          <cell r="E308" t="str">
            <v>22 St Georges Terrace</v>
          </cell>
          <cell r="F308" t="str">
            <v>Perth</v>
          </cell>
          <cell r="G308" t="str">
            <v>WA</v>
          </cell>
          <cell r="H308" t="str">
            <v>Corporate</v>
          </cell>
          <cell r="I308" t="str">
            <v>Natasha Song</v>
          </cell>
          <cell r="J308" t="str">
            <v>Low</v>
          </cell>
          <cell r="K308" t="str">
            <v>Binder Clips by OIC</v>
          </cell>
          <cell r="L308" t="str">
            <v>Office Supplies</v>
          </cell>
          <cell r="M308" t="str">
            <v>Wrap Bag</v>
          </cell>
          <cell r="N308" t="str">
            <v>Regular Air</v>
          </cell>
          <cell r="O308">
            <v>41772</v>
          </cell>
          <cell r="P308">
            <v>0.93</v>
          </cell>
          <cell r="Q308">
            <v>1.48</v>
          </cell>
          <cell r="R308">
            <v>0.54999999999999993</v>
          </cell>
          <cell r="S308">
            <v>33</v>
          </cell>
          <cell r="T308">
            <v>48.839999999999996</v>
          </cell>
          <cell r="V308">
            <v>3.4188000000000001</v>
          </cell>
          <cell r="W308">
            <v>45.421199999999999</v>
          </cell>
          <cell r="X308">
            <v>0.7</v>
          </cell>
          <cell r="Y308">
            <v>46.121200000000002</v>
          </cell>
        </row>
        <row r="309">
          <cell r="A309" t="str">
            <v>5485-1</v>
          </cell>
          <cell r="B309">
            <v>41767</v>
          </cell>
          <cell r="C309" t="str">
            <v>2014</v>
          </cell>
          <cell r="D309" t="str">
            <v>Michelle Moray</v>
          </cell>
          <cell r="E309" t="str">
            <v>310 Wattle St,Ultimo</v>
          </cell>
          <cell r="F309" t="str">
            <v>Sydney</v>
          </cell>
          <cell r="G309" t="str">
            <v>NSW</v>
          </cell>
          <cell r="H309" t="str">
            <v>Corporate</v>
          </cell>
          <cell r="I309" t="str">
            <v>Aanya Zhang</v>
          </cell>
          <cell r="J309" t="str">
            <v>Low</v>
          </cell>
          <cell r="K309" t="str">
            <v>Economy Binders</v>
          </cell>
          <cell r="L309" t="str">
            <v>Office Supplies</v>
          </cell>
          <cell r="M309" t="str">
            <v>Small Box</v>
          </cell>
          <cell r="N309" t="str">
            <v>Regular Air</v>
          </cell>
          <cell r="O309">
            <v>41771</v>
          </cell>
          <cell r="P309">
            <v>1.33</v>
          </cell>
          <cell r="Q309">
            <v>2.08</v>
          </cell>
          <cell r="R309">
            <v>0.75</v>
          </cell>
          <cell r="S309">
            <v>40</v>
          </cell>
          <cell r="T309">
            <v>83.2</v>
          </cell>
          <cell r="V309">
            <v>0</v>
          </cell>
          <cell r="W309">
            <v>83.2</v>
          </cell>
          <cell r="X309">
            <v>1.49</v>
          </cell>
          <cell r="Y309">
            <v>84.69</v>
          </cell>
        </row>
        <row r="310">
          <cell r="A310" t="str">
            <v>5487-1</v>
          </cell>
          <cell r="B310">
            <v>41768</v>
          </cell>
          <cell r="C310" t="str">
            <v>2014</v>
          </cell>
          <cell r="D310" t="str">
            <v>Jim Radford</v>
          </cell>
          <cell r="E310" t="str">
            <v>222 Barkly St,St Kilda</v>
          </cell>
          <cell r="F310" t="str">
            <v>Melbourne</v>
          </cell>
          <cell r="G310" t="str">
            <v>VIC</v>
          </cell>
          <cell r="H310" t="str">
            <v>Corporate</v>
          </cell>
          <cell r="I310" t="str">
            <v>Yvette Biti</v>
          </cell>
          <cell r="J310" t="str">
            <v>Critical</v>
          </cell>
          <cell r="K310" t="str">
            <v>3Max Polarizing Task Lamp with Clamp Arm, Light Gray</v>
          </cell>
          <cell r="L310" t="str">
            <v>Furniture</v>
          </cell>
          <cell r="M310" t="str">
            <v>Large Box</v>
          </cell>
          <cell r="N310" t="str">
            <v>Regular Air</v>
          </cell>
          <cell r="O310">
            <v>41769</v>
          </cell>
          <cell r="P310">
            <v>56.16</v>
          </cell>
          <cell r="Q310">
            <v>136.97999999999999</v>
          </cell>
          <cell r="R310">
            <v>80.819999999999993</v>
          </cell>
          <cell r="S310">
            <v>44</v>
          </cell>
          <cell r="T310">
            <v>6027.12</v>
          </cell>
          <cell r="V310">
            <v>482.1696</v>
          </cell>
          <cell r="W310">
            <v>5544.9503999999997</v>
          </cell>
          <cell r="X310">
            <v>24.49</v>
          </cell>
          <cell r="Y310">
            <v>5569.4403999999995</v>
          </cell>
        </row>
        <row r="311">
          <cell r="A311" t="str">
            <v>5489-1</v>
          </cell>
          <cell r="B311">
            <v>41770</v>
          </cell>
          <cell r="C311" t="str">
            <v>2014</v>
          </cell>
          <cell r="D311" t="str">
            <v>Aleksandra Gannaway</v>
          </cell>
          <cell r="E311" t="str">
            <v>508/130 Mounts Bay Road, Perth</v>
          </cell>
          <cell r="F311" t="str">
            <v>Perth</v>
          </cell>
          <cell r="G311" t="str">
            <v>WA</v>
          </cell>
          <cell r="H311" t="str">
            <v>Corporate</v>
          </cell>
          <cell r="I311" t="str">
            <v>Tina Carlton</v>
          </cell>
          <cell r="J311" t="str">
            <v>Medium</v>
          </cell>
          <cell r="K311" t="str">
            <v>Lumi Crayons</v>
          </cell>
          <cell r="L311" t="str">
            <v>Office Supplies</v>
          </cell>
          <cell r="M311" t="str">
            <v>Wrap Bag</v>
          </cell>
          <cell r="N311" t="str">
            <v>Regular Air</v>
          </cell>
          <cell r="O311">
            <v>41771</v>
          </cell>
          <cell r="P311">
            <v>5.22</v>
          </cell>
          <cell r="Q311">
            <v>9.85</v>
          </cell>
          <cell r="R311">
            <v>4.63</v>
          </cell>
          <cell r="S311">
            <v>20</v>
          </cell>
          <cell r="T311">
            <v>197</v>
          </cell>
          <cell r="V311">
            <v>11.82</v>
          </cell>
          <cell r="W311">
            <v>185.18</v>
          </cell>
          <cell r="X311">
            <v>4.82</v>
          </cell>
          <cell r="Y311">
            <v>190</v>
          </cell>
        </row>
        <row r="312">
          <cell r="A312" t="str">
            <v>5491-1</v>
          </cell>
          <cell r="B312">
            <v>41772</v>
          </cell>
          <cell r="C312" t="str">
            <v>2014</v>
          </cell>
          <cell r="D312" t="str">
            <v>Jennifer Patt</v>
          </cell>
          <cell r="E312" t="str">
            <v>523 King St,Newtown</v>
          </cell>
          <cell r="F312" t="str">
            <v>Sydney</v>
          </cell>
          <cell r="G312" t="str">
            <v>NSW</v>
          </cell>
          <cell r="H312" t="str">
            <v>Home Office</v>
          </cell>
          <cell r="I312" t="str">
            <v>Aanya Zhang</v>
          </cell>
          <cell r="J312" t="str">
            <v>Not Specified</v>
          </cell>
          <cell r="K312" t="str">
            <v>Alto 3-Hole Punch</v>
          </cell>
          <cell r="L312" t="str">
            <v>Office Supplies</v>
          </cell>
          <cell r="M312" t="str">
            <v>Small Box</v>
          </cell>
          <cell r="N312" t="str">
            <v>Regular Air</v>
          </cell>
          <cell r="O312">
            <v>41773</v>
          </cell>
          <cell r="P312">
            <v>2.76</v>
          </cell>
          <cell r="Q312">
            <v>4.38</v>
          </cell>
          <cell r="R312">
            <v>1.62</v>
          </cell>
          <cell r="S312">
            <v>29</v>
          </cell>
          <cell r="T312">
            <v>127.02</v>
          </cell>
          <cell r="V312">
            <v>10.1616</v>
          </cell>
          <cell r="W312">
            <v>116.85839999999999</v>
          </cell>
          <cell r="X312">
            <v>6.21</v>
          </cell>
          <cell r="Y312">
            <v>123.06839999999998</v>
          </cell>
        </row>
        <row r="313">
          <cell r="A313" t="str">
            <v>5493-1</v>
          </cell>
          <cell r="B313">
            <v>41774</v>
          </cell>
          <cell r="C313" t="str">
            <v>2014</v>
          </cell>
          <cell r="D313" t="str">
            <v>Eric Barreto</v>
          </cell>
          <cell r="E313" t="str">
            <v>14 Money Street</v>
          </cell>
          <cell r="F313" t="str">
            <v>Perth</v>
          </cell>
          <cell r="G313" t="str">
            <v>WA</v>
          </cell>
          <cell r="H313" t="str">
            <v>Consumer</v>
          </cell>
          <cell r="I313" t="str">
            <v>Phoebe Gour</v>
          </cell>
          <cell r="J313" t="str">
            <v>Medium</v>
          </cell>
          <cell r="K313" t="str">
            <v>Artisan 481 Labels</v>
          </cell>
          <cell r="L313" t="str">
            <v>Office Supplies</v>
          </cell>
          <cell r="M313" t="str">
            <v>Small Box</v>
          </cell>
          <cell r="N313" t="str">
            <v>Regular Air</v>
          </cell>
          <cell r="O313">
            <v>41775</v>
          </cell>
          <cell r="P313">
            <v>1.94</v>
          </cell>
          <cell r="Q313">
            <v>3.08</v>
          </cell>
          <cell r="R313">
            <v>1.1400000000000001</v>
          </cell>
          <cell r="S313">
            <v>9</v>
          </cell>
          <cell r="T313">
            <v>27.72</v>
          </cell>
          <cell r="V313">
            <v>0.2772</v>
          </cell>
          <cell r="W313">
            <v>27.442799999999998</v>
          </cell>
          <cell r="X313">
            <v>0.99</v>
          </cell>
          <cell r="Y313">
            <v>28.432799999999997</v>
          </cell>
        </row>
        <row r="314">
          <cell r="A314" t="str">
            <v>5494-1</v>
          </cell>
          <cell r="B314">
            <v>41776</v>
          </cell>
          <cell r="C314" t="str">
            <v>2014</v>
          </cell>
          <cell r="D314" t="str">
            <v>Deborah Brumfield</v>
          </cell>
          <cell r="E314" t="str">
            <v>501 George St,Sydney</v>
          </cell>
          <cell r="F314" t="str">
            <v>Sydney</v>
          </cell>
          <cell r="G314" t="str">
            <v>NSW</v>
          </cell>
          <cell r="H314" t="str">
            <v>Small Business</v>
          </cell>
          <cell r="I314" t="str">
            <v>Samantha Chairs</v>
          </cell>
          <cell r="J314" t="str">
            <v>Not Specified</v>
          </cell>
          <cell r="K314" t="str">
            <v>Apex Straight Scissors</v>
          </cell>
          <cell r="L314" t="str">
            <v>Office Supplies</v>
          </cell>
          <cell r="M314" t="str">
            <v>Small Pack</v>
          </cell>
          <cell r="N314" t="str">
            <v>Regular Air</v>
          </cell>
          <cell r="O314">
            <v>41777</v>
          </cell>
          <cell r="P314">
            <v>5.19</v>
          </cell>
          <cell r="Q314">
            <v>12.98</v>
          </cell>
          <cell r="R314">
            <v>7.79</v>
          </cell>
          <cell r="S314">
            <v>20</v>
          </cell>
          <cell r="T314">
            <v>259.60000000000002</v>
          </cell>
          <cell r="V314">
            <v>10.384</v>
          </cell>
          <cell r="W314">
            <v>249.21600000000001</v>
          </cell>
          <cell r="X314">
            <v>3.14</v>
          </cell>
          <cell r="Y314">
            <v>252.35599999999999</v>
          </cell>
        </row>
        <row r="315">
          <cell r="A315" t="str">
            <v>5496-1</v>
          </cell>
          <cell r="B315">
            <v>41778</v>
          </cell>
          <cell r="C315" t="str">
            <v>2014</v>
          </cell>
          <cell r="D315" t="str">
            <v>Richard Eichhorn</v>
          </cell>
          <cell r="E315" t="str">
            <v>506 Swan Street,Richmond</v>
          </cell>
          <cell r="F315" t="str">
            <v>Melbourne</v>
          </cell>
          <cell r="G315" t="str">
            <v>VIC</v>
          </cell>
          <cell r="H315" t="str">
            <v>Consumer</v>
          </cell>
          <cell r="I315" t="str">
            <v>Connor Betts</v>
          </cell>
          <cell r="J315" t="str">
            <v>Medium</v>
          </cell>
          <cell r="K315" t="str">
            <v>Aluminum Document Frame</v>
          </cell>
          <cell r="L315" t="str">
            <v>Furniture</v>
          </cell>
          <cell r="M315" t="str">
            <v>Small Pack</v>
          </cell>
          <cell r="N315" t="str">
            <v>Express Air</v>
          </cell>
          <cell r="O315">
            <v>41779</v>
          </cell>
          <cell r="P315">
            <v>5.5</v>
          </cell>
          <cell r="Q315">
            <v>12.22</v>
          </cell>
          <cell r="R315">
            <v>6.7200000000000006</v>
          </cell>
          <cell r="S315">
            <v>18</v>
          </cell>
          <cell r="T315">
            <v>219.96</v>
          </cell>
          <cell r="V315">
            <v>8.7984000000000009</v>
          </cell>
          <cell r="W315">
            <v>211.16160000000002</v>
          </cell>
          <cell r="X315">
            <v>2.85</v>
          </cell>
          <cell r="Y315">
            <v>214.01160000000002</v>
          </cell>
        </row>
        <row r="316">
          <cell r="A316" t="str">
            <v>5497-1</v>
          </cell>
          <cell r="B316">
            <v>41778</v>
          </cell>
          <cell r="C316" t="str">
            <v>2014</v>
          </cell>
          <cell r="D316" t="str">
            <v>Juliana Krohn</v>
          </cell>
          <cell r="E316" t="str">
            <v>2/797 Botany Rd,Rosebery</v>
          </cell>
          <cell r="F316" t="str">
            <v>Sydney</v>
          </cell>
          <cell r="G316" t="str">
            <v>NSW</v>
          </cell>
          <cell r="H316" t="str">
            <v>Corporate</v>
          </cell>
          <cell r="I316" t="str">
            <v>Samantha Chairs</v>
          </cell>
          <cell r="J316" t="str">
            <v>Low</v>
          </cell>
          <cell r="K316" t="str">
            <v>Smiths Bulldog Clip</v>
          </cell>
          <cell r="L316" t="str">
            <v>Office Supplies</v>
          </cell>
          <cell r="M316" t="str">
            <v>Wrap Bag</v>
          </cell>
          <cell r="N316" t="str">
            <v>Express Air</v>
          </cell>
          <cell r="O316">
            <v>41783</v>
          </cell>
          <cell r="P316">
            <v>2.31</v>
          </cell>
          <cell r="Q316">
            <v>3.78</v>
          </cell>
          <cell r="R316">
            <v>1.4699999999999998</v>
          </cell>
          <cell r="S316">
            <v>15</v>
          </cell>
          <cell r="T316">
            <v>56.699999999999996</v>
          </cell>
          <cell r="V316">
            <v>1.7009999999999998</v>
          </cell>
          <cell r="W316">
            <v>54.998999999999995</v>
          </cell>
          <cell r="X316">
            <v>0.71</v>
          </cell>
          <cell r="Y316">
            <v>55.708999999999996</v>
          </cell>
        </row>
        <row r="317">
          <cell r="A317" t="str">
            <v>5498-1</v>
          </cell>
          <cell r="B317">
            <v>41784</v>
          </cell>
          <cell r="C317" t="str">
            <v>2014</v>
          </cell>
          <cell r="D317" t="str">
            <v>Clytie Kelty</v>
          </cell>
          <cell r="E317" t="str">
            <v>8 Khartoum Rd,Macquarie Park</v>
          </cell>
          <cell r="F317" t="str">
            <v>Sydney</v>
          </cell>
          <cell r="G317" t="str">
            <v>NSW</v>
          </cell>
          <cell r="H317" t="str">
            <v>Small Business</v>
          </cell>
          <cell r="I317" t="str">
            <v>Radhya Staples</v>
          </cell>
          <cell r="J317" t="str">
            <v>Low</v>
          </cell>
          <cell r="K317" t="str">
            <v>Cando PC940 Copier</v>
          </cell>
          <cell r="L317" t="str">
            <v>Technology</v>
          </cell>
          <cell r="M317" t="str">
            <v>Jumbo Drum</v>
          </cell>
          <cell r="N317" t="str">
            <v>Delivery Truck</v>
          </cell>
          <cell r="O317">
            <v>41788</v>
          </cell>
          <cell r="P317">
            <v>278.99</v>
          </cell>
          <cell r="Q317">
            <v>449.99</v>
          </cell>
          <cell r="R317">
            <v>171</v>
          </cell>
          <cell r="S317">
            <v>47</v>
          </cell>
          <cell r="T317">
            <v>21149.53</v>
          </cell>
          <cell r="V317">
            <v>2114.953</v>
          </cell>
          <cell r="W317">
            <v>19034.576999999997</v>
          </cell>
          <cell r="X317">
            <v>49</v>
          </cell>
          <cell r="Y317">
            <v>19083.576999999997</v>
          </cell>
        </row>
        <row r="318">
          <cell r="A318" t="str">
            <v>5500-1</v>
          </cell>
          <cell r="B318">
            <v>41788</v>
          </cell>
          <cell r="C318" t="str">
            <v>2014</v>
          </cell>
          <cell r="D318" t="str">
            <v>Ken Dana</v>
          </cell>
          <cell r="E318" t="str">
            <v>73 York St,Sydney</v>
          </cell>
          <cell r="F318" t="str">
            <v>Sydney</v>
          </cell>
          <cell r="G318" t="str">
            <v>NSW</v>
          </cell>
          <cell r="H318" t="str">
            <v>Corporate</v>
          </cell>
          <cell r="I318" t="str">
            <v>Tina Carlton</v>
          </cell>
          <cell r="J318" t="str">
            <v>Low</v>
          </cell>
          <cell r="K318" t="str">
            <v>Adesso Programmable 142-Key Keyboard</v>
          </cell>
          <cell r="L318" t="str">
            <v>Technology</v>
          </cell>
          <cell r="M318" t="str">
            <v>Small Box</v>
          </cell>
          <cell r="N318" t="str">
            <v>Regular Air</v>
          </cell>
          <cell r="O318">
            <v>41792</v>
          </cell>
          <cell r="P318">
            <v>32.020000000000003</v>
          </cell>
          <cell r="Q318">
            <v>152.47999999999999</v>
          </cell>
          <cell r="R318">
            <v>120.45999999999998</v>
          </cell>
          <cell r="S318">
            <v>49</v>
          </cell>
          <cell r="T318">
            <v>7471.5199999999995</v>
          </cell>
          <cell r="V318">
            <v>224.14559999999997</v>
          </cell>
          <cell r="W318">
            <v>7247.3743999999997</v>
          </cell>
          <cell r="X318">
            <v>4</v>
          </cell>
          <cell r="Y318">
            <v>7251.3743999999997</v>
          </cell>
        </row>
        <row r="319">
          <cell r="A319" t="str">
            <v>5502-1</v>
          </cell>
          <cell r="B319">
            <v>41788</v>
          </cell>
          <cell r="C319" t="str">
            <v>2014</v>
          </cell>
          <cell r="D319" t="str">
            <v>Andy Yotov</v>
          </cell>
          <cell r="E319" t="str">
            <v>31 Wellington Street, Perth</v>
          </cell>
          <cell r="F319" t="str">
            <v>Sydney</v>
          </cell>
          <cell r="G319" t="str">
            <v>NSW</v>
          </cell>
          <cell r="H319" t="str">
            <v>Corporate</v>
          </cell>
          <cell r="I319" t="str">
            <v>Natasha Song</v>
          </cell>
          <cell r="J319" t="str">
            <v>High</v>
          </cell>
          <cell r="K319" t="str">
            <v>Artisan Flip-Chart Easel Binder, Black</v>
          </cell>
          <cell r="L319" t="str">
            <v>Office Supplies</v>
          </cell>
          <cell r="M319" t="str">
            <v>Small Box</v>
          </cell>
          <cell r="N319" t="str">
            <v>Regular Air</v>
          </cell>
          <cell r="O319">
            <v>41788</v>
          </cell>
          <cell r="P319">
            <v>13.88</v>
          </cell>
          <cell r="Q319">
            <v>22.38</v>
          </cell>
          <cell r="R319">
            <v>8.4999999999999982</v>
          </cell>
          <cell r="S319">
            <v>26</v>
          </cell>
          <cell r="T319">
            <v>581.88</v>
          </cell>
          <cell r="V319">
            <v>40.7316</v>
          </cell>
          <cell r="W319">
            <v>541.14840000000004</v>
          </cell>
          <cell r="X319">
            <v>15.1</v>
          </cell>
          <cell r="Y319">
            <v>556.24840000000006</v>
          </cell>
        </row>
        <row r="320">
          <cell r="A320" t="str">
            <v>5504-1</v>
          </cell>
          <cell r="B320">
            <v>41788</v>
          </cell>
          <cell r="C320" t="str">
            <v>2014</v>
          </cell>
          <cell r="D320" t="str">
            <v>Melanie Page</v>
          </cell>
          <cell r="E320" t="str">
            <v>541 Church St,Richmond</v>
          </cell>
          <cell r="F320" t="str">
            <v>Melbourne</v>
          </cell>
          <cell r="G320" t="str">
            <v>VIC</v>
          </cell>
          <cell r="H320" t="str">
            <v>Corporate</v>
          </cell>
          <cell r="I320" t="str">
            <v>Yvette Biti</v>
          </cell>
          <cell r="J320" t="str">
            <v>Medium</v>
          </cell>
          <cell r="K320" t="str">
            <v>Smiths SlimLine Pencil Sharpener</v>
          </cell>
          <cell r="L320" t="str">
            <v>Office Supplies</v>
          </cell>
          <cell r="M320" t="str">
            <v>Small Pack</v>
          </cell>
          <cell r="N320" t="str">
            <v>Regular Air</v>
          </cell>
          <cell r="O320">
            <v>41788</v>
          </cell>
          <cell r="P320">
            <v>4.79</v>
          </cell>
          <cell r="Q320">
            <v>11.97</v>
          </cell>
          <cell r="R320">
            <v>7.1800000000000006</v>
          </cell>
          <cell r="S320">
            <v>46</v>
          </cell>
          <cell r="T320">
            <v>550.62</v>
          </cell>
          <cell r="V320">
            <v>38.543400000000005</v>
          </cell>
          <cell r="W320">
            <v>512.07659999999998</v>
          </cell>
          <cell r="X320">
            <v>5.81</v>
          </cell>
          <cell r="Y320">
            <v>517.88659999999993</v>
          </cell>
        </row>
        <row r="321">
          <cell r="A321" t="str">
            <v>5505-1</v>
          </cell>
          <cell r="B321">
            <v>41792</v>
          </cell>
          <cell r="C321" t="str">
            <v>2014</v>
          </cell>
          <cell r="D321" t="str">
            <v>Arthur Gainer</v>
          </cell>
          <cell r="E321" t="str">
            <v>14/76 Newcastle Street, Perth</v>
          </cell>
          <cell r="F321" t="str">
            <v>Melbourne</v>
          </cell>
          <cell r="G321" t="str">
            <v>VIC</v>
          </cell>
          <cell r="H321" t="str">
            <v>Corporate</v>
          </cell>
          <cell r="I321" t="str">
            <v>Connor Betts</v>
          </cell>
          <cell r="J321" t="str">
            <v>Critical</v>
          </cell>
          <cell r="K321" t="str">
            <v>1726 Digital Answering Machine</v>
          </cell>
          <cell r="L321" t="str">
            <v>Technology</v>
          </cell>
          <cell r="M321" t="str">
            <v>Medium Box</v>
          </cell>
          <cell r="N321" t="str">
            <v>Regular Air</v>
          </cell>
          <cell r="O321">
            <v>41794</v>
          </cell>
          <cell r="P321">
            <v>8.82</v>
          </cell>
          <cell r="Q321">
            <v>20.99</v>
          </cell>
          <cell r="R321">
            <v>12.169999999999998</v>
          </cell>
          <cell r="S321">
            <v>10</v>
          </cell>
          <cell r="T321">
            <v>209.89999999999998</v>
          </cell>
          <cell r="V321">
            <v>0</v>
          </cell>
          <cell r="W321">
            <v>209.89999999999998</v>
          </cell>
          <cell r="X321">
            <v>4.8099999999999996</v>
          </cell>
          <cell r="Y321">
            <v>214.70999999999998</v>
          </cell>
        </row>
        <row r="322">
          <cell r="A322" t="str">
            <v>5506-1</v>
          </cell>
          <cell r="B322">
            <v>41793</v>
          </cell>
          <cell r="C322" t="str">
            <v>2014</v>
          </cell>
          <cell r="D322" t="str">
            <v>Jeremy Lonsdale</v>
          </cell>
          <cell r="E322" t="str">
            <v>163 Concord Road,North Strathfield</v>
          </cell>
          <cell r="F322" t="str">
            <v>Sydney</v>
          </cell>
          <cell r="G322" t="str">
            <v>NSW</v>
          </cell>
          <cell r="H322" t="str">
            <v>Corporate</v>
          </cell>
          <cell r="I322" t="str">
            <v>Charlie Bui</v>
          </cell>
          <cell r="J322" t="str">
            <v>Not Specified</v>
          </cell>
          <cell r="K322" t="str">
            <v>Creator Anti Dust Chalk, 12/Pack</v>
          </cell>
          <cell r="L322" t="str">
            <v>Office Supplies</v>
          </cell>
          <cell r="M322" t="str">
            <v>Wrap Bag</v>
          </cell>
          <cell r="N322" t="str">
            <v>Regular Air</v>
          </cell>
          <cell r="O322">
            <v>41794</v>
          </cell>
          <cell r="P322">
            <v>1.0900000000000001</v>
          </cell>
          <cell r="Q322">
            <v>1.82</v>
          </cell>
          <cell r="R322">
            <v>0.73</v>
          </cell>
          <cell r="S322">
            <v>40</v>
          </cell>
          <cell r="T322">
            <v>72.8</v>
          </cell>
          <cell r="V322">
            <v>7.28</v>
          </cell>
          <cell r="W322">
            <v>65.52</v>
          </cell>
          <cell r="X322">
            <v>1</v>
          </cell>
          <cell r="Y322">
            <v>66.52</v>
          </cell>
        </row>
        <row r="323">
          <cell r="A323" t="str">
            <v>5507-1</v>
          </cell>
          <cell r="B323">
            <v>41793</v>
          </cell>
          <cell r="C323" t="str">
            <v>2014</v>
          </cell>
          <cell r="D323" t="str">
            <v>Christopher Martinez</v>
          </cell>
          <cell r="E323" t="str">
            <v>33 Wellington Street</v>
          </cell>
          <cell r="F323" t="str">
            <v>Perth</v>
          </cell>
          <cell r="G323" t="str">
            <v>WA</v>
          </cell>
          <cell r="H323" t="str">
            <v>Small Business</v>
          </cell>
          <cell r="I323" t="str">
            <v>Tina Carlton</v>
          </cell>
          <cell r="J323" t="str">
            <v>High</v>
          </cell>
          <cell r="K323" t="str">
            <v>Steady Major Accent Highlighters</v>
          </cell>
          <cell r="L323" t="str">
            <v>Office Supplies</v>
          </cell>
          <cell r="M323" t="str">
            <v>Wrap Bag</v>
          </cell>
          <cell r="N323" t="str">
            <v>Regular Air</v>
          </cell>
          <cell r="O323">
            <v>41795</v>
          </cell>
          <cell r="P323">
            <v>3.75</v>
          </cell>
          <cell r="Q323">
            <v>7.08</v>
          </cell>
          <cell r="R323">
            <v>3.33</v>
          </cell>
          <cell r="S323">
            <v>45</v>
          </cell>
          <cell r="T323">
            <v>318.60000000000002</v>
          </cell>
          <cell r="V323">
            <v>19.116</v>
          </cell>
          <cell r="W323">
            <v>299.48400000000004</v>
          </cell>
          <cell r="X323">
            <v>2.35</v>
          </cell>
          <cell r="Y323">
            <v>301.83400000000006</v>
          </cell>
        </row>
        <row r="324">
          <cell r="A324" t="str">
            <v>5508-1</v>
          </cell>
          <cell r="B324">
            <v>41794</v>
          </cell>
          <cell r="C324" t="str">
            <v>2014</v>
          </cell>
          <cell r="D324" t="str">
            <v>Frank Merwin</v>
          </cell>
          <cell r="E324" t="str">
            <v>24 Addison Rd,Marrickville</v>
          </cell>
          <cell r="F324" t="str">
            <v>Sydney</v>
          </cell>
          <cell r="G324" t="str">
            <v>NSW</v>
          </cell>
          <cell r="H324" t="str">
            <v>Consumer</v>
          </cell>
          <cell r="I324" t="str">
            <v>Radhya Staples</v>
          </cell>
          <cell r="J324" t="str">
            <v>High</v>
          </cell>
          <cell r="K324" t="str">
            <v>Deluxe Rollaway Locking File with Drawer</v>
          </cell>
          <cell r="L324" t="str">
            <v>Office Supplies</v>
          </cell>
          <cell r="M324" t="str">
            <v>Small Box</v>
          </cell>
          <cell r="N324" t="str">
            <v>Regular Air</v>
          </cell>
          <cell r="O324">
            <v>41795</v>
          </cell>
          <cell r="P324">
            <v>178.83</v>
          </cell>
          <cell r="Q324">
            <v>415.88</v>
          </cell>
          <cell r="R324">
            <v>237.04999999999998</v>
          </cell>
          <cell r="S324">
            <v>43</v>
          </cell>
          <cell r="T324">
            <v>17882.84</v>
          </cell>
          <cell r="V324">
            <v>1251.7988</v>
          </cell>
          <cell r="W324">
            <v>16631.0412</v>
          </cell>
          <cell r="X324">
            <v>11.37</v>
          </cell>
          <cell r="Y324">
            <v>16642.411199999999</v>
          </cell>
        </row>
        <row r="325">
          <cell r="A325" t="str">
            <v>5510-1</v>
          </cell>
          <cell r="B325">
            <v>41794</v>
          </cell>
          <cell r="C325" t="str">
            <v>2014</v>
          </cell>
          <cell r="D325" t="str">
            <v>Dianna Wilson</v>
          </cell>
          <cell r="E325" t="str">
            <v>310 Wattle St,Ultimo</v>
          </cell>
          <cell r="F325" t="str">
            <v>Sydney</v>
          </cell>
          <cell r="G325" t="str">
            <v>NSW</v>
          </cell>
          <cell r="H325" t="str">
            <v>Small Business</v>
          </cell>
          <cell r="I325" t="str">
            <v>Aanya Zhang</v>
          </cell>
          <cell r="J325" t="str">
            <v>Not Specified</v>
          </cell>
          <cell r="K325" t="str">
            <v>UGen Ultra Professional Cordless Optical Suite</v>
          </cell>
          <cell r="L325" t="str">
            <v>Technology</v>
          </cell>
          <cell r="M325" t="str">
            <v>Small Box</v>
          </cell>
          <cell r="N325" t="str">
            <v>Regular Air</v>
          </cell>
          <cell r="O325">
            <v>41795</v>
          </cell>
          <cell r="P325">
            <v>156.5</v>
          </cell>
          <cell r="Q325">
            <v>300.97000000000003</v>
          </cell>
          <cell r="R325">
            <v>144.47000000000003</v>
          </cell>
          <cell r="S325">
            <v>6</v>
          </cell>
          <cell r="T325">
            <v>1805.8200000000002</v>
          </cell>
          <cell r="V325">
            <v>72.232800000000012</v>
          </cell>
          <cell r="W325">
            <v>1733.5872000000002</v>
          </cell>
          <cell r="X325">
            <v>7.18</v>
          </cell>
          <cell r="Y325">
            <v>1740.7672000000002</v>
          </cell>
        </row>
        <row r="326">
          <cell r="A326" t="str">
            <v>5512-1</v>
          </cell>
          <cell r="B326">
            <v>41795</v>
          </cell>
          <cell r="C326" t="str">
            <v>2014</v>
          </cell>
          <cell r="D326" t="str">
            <v>Lindsay Castell</v>
          </cell>
          <cell r="E326" t="str">
            <v>Qantas Domestic Terminal,Mascot</v>
          </cell>
          <cell r="F326" t="str">
            <v>Sydney</v>
          </cell>
          <cell r="G326" t="str">
            <v>NSW</v>
          </cell>
          <cell r="H326" t="str">
            <v>Corporate</v>
          </cell>
          <cell r="I326" t="str">
            <v>Phoebe Gour</v>
          </cell>
          <cell r="J326" t="str">
            <v>Medium</v>
          </cell>
          <cell r="K326" t="str">
            <v>Xit Blank Computer Paper</v>
          </cell>
          <cell r="L326" t="str">
            <v>Office Supplies</v>
          </cell>
          <cell r="M326" t="str">
            <v>Small Box</v>
          </cell>
          <cell r="N326" t="str">
            <v>Regular Air</v>
          </cell>
          <cell r="O326">
            <v>41797</v>
          </cell>
          <cell r="P326">
            <v>12.39</v>
          </cell>
          <cell r="Q326">
            <v>19.98</v>
          </cell>
          <cell r="R326">
            <v>7.59</v>
          </cell>
          <cell r="S326">
            <v>10</v>
          </cell>
          <cell r="T326">
            <v>199.8</v>
          </cell>
          <cell r="V326">
            <v>19.980000000000004</v>
          </cell>
          <cell r="W326">
            <v>179.82</v>
          </cell>
          <cell r="X326">
            <v>5.77</v>
          </cell>
          <cell r="Y326">
            <v>185.59</v>
          </cell>
        </row>
        <row r="327">
          <cell r="A327" t="str">
            <v>5513-1</v>
          </cell>
          <cell r="B327">
            <v>41797</v>
          </cell>
          <cell r="C327" t="str">
            <v>2014</v>
          </cell>
          <cell r="D327" t="str">
            <v>Chuck Sachs</v>
          </cell>
          <cell r="E327" t="str">
            <v>1/41B Elizabeth Bay Rd,Elizabeth Bay</v>
          </cell>
          <cell r="F327" t="str">
            <v>Sydney</v>
          </cell>
          <cell r="G327" t="str">
            <v>NSW</v>
          </cell>
          <cell r="H327" t="str">
            <v>Consumer</v>
          </cell>
          <cell r="I327" t="str">
            <v>Charlie Bui</v>
          </cell>
          <cell r="J327" t="str">
            <v>Medium</v>
          </cell>
          <cell r="K327" t="str">
            <v>Cando PC940 Copier</v>
          </cell>
          <cell r="L327" t="str">
            <v>Technology</v>
          </cell>
          <cell r="M327" t="str">
            <v>Jumbo Drum</v>
          </cell>
          <cell r="N327" t="str">
            <v>Delivery Truck</v>
          </cell>
          <cell r="O327">
            <v>41798</v>
          </cell>
          <cell r="P327">
            <v>278.99</v>
          </cell>
          <cell r="Q327">
            <v>449.99</v>
          </cell>
          <cell r="R327">
            <v>171</v>
          </cell>
          <cell r="S327">
            <v>5</v>
          </cell>
          <cell r="T327">
            <v>2249.9499999999998</v>
          </cell>
          <cell r="V327">
            <v>22.499499999999998</v>
          </cell>
          <cell r="W327">
            <v>2227.4504999999999</v>
          </cell>
          <cell r="X327">
            <v>49</v>
          </cell>
          <cell r="Y327">
            <v>2276.4504999999999</v>
          </cell>
        </row>
        <row r="328">
          <cell r="A328" t="str">
            <v>5514-1</v>
          </cell>
          <cell r="B328">
            <v>41798</v>
          </cell>
          <cell r="C328" t="str">
            <v>2014</v>
          </cell>
          <cell r="D328" t="str">
            <v>John Lee</v>
          </cell>
          <cell r="E328" t="str">
            <v>180 High Street,Windsor</v>
          </cell>
          <cell r="F328" t="str">
            <v>Melbourne</v>
          </cell>
          <cell r="G328" t="str">
            <v>VIC</v>
          </cell>
          <cell r="H328" t="str">
            <v>Corporate</v>
          </cell>
          <cell r="I328" t="str">
            <v>Connor Betts</v>
          </cell>
          <cell r="J328" t="str">
            <v>Not Specified</v>
          </cell>
          <cell r="K328" t="str">
            <v>Artisan Poly Binder Pockets</v>
          </cell>
          <cell r="L328" t="str">
            <v>Office Supplies</v>
          </cell>
          <cell r="M328" t="str">
            <v>Small Box</v>
          </cell>
          <cell r="N328" t="str">
            <v>Express Air</v>
          </cell>
          <cell r="O328">
            <v>41800</v>
          </cell>
          <cell r="P328">
            <v>2.2599999999999998</v>
          </cell>
          <cell r="Q328">
            <v>3.58</v>
          </cell>
          <cell r="R328">
            <v>1.3200000000000003</v>
          </cell>
          <cell r="S328">
            <v>44</v>
          </cell>
          <cell r="T328">
            <v>157.52000000000001</v>
          </cell>
          <cell r="V328">
            <v>9.4512</v>
          </cell>
          <cell r="W328">
            <v>148.06880000000001</v>
          </cell>
          <cell r="X328">
            <v>5.47</v>
          </cell>
          <cell r="Y328">
            <v>153.53880000000001</v>
          </cell>
        </row>
        <row r="329">
          <cell r="A329" t="str">
            <v>5516-1</v>
          </cell>
          <cell r="B329">
            <v>41799</v>
          </cell>
          <cell r="C329" t="str">
            <v>2014</v>
          </cell>
          <cell r="D329" t="str">
            <v>Anthony Rawles</v>
          </cell>
          <cell r="E329" t="str">
            <v>14 Money Street, Perth</v>
          </cell>
          <cell r="F329" t="str">
            <v>Perth</v>
          </cell>
          <cell r="G329" t="str">
            <v>WA</v>
          </cell>
          <cell r="H329" t="str">
            <v>Small Business</v>
          </cell>
          <cell r="I329" t="str">
            <v>Mihael Khan</v>
          </cell>
          <cell r="J329" t="str">
            <v>High</v>
          </cell>
          <cell r="K329" t="str">
            <v>3Max Polarizing Light Filter Sleeves</v>
          </cell>
          <cell r="L329" t="str">
            <v>Furniture</v>
          </cell>
          <cell r="M329" t="str">
            <v>Small Pack</v>
          </cell>
          <cell r="N329" t="str">
            <v>Regular Air</v>
          </cell>
          <cell r="O329">
            <v>41799</v>
          </cell>
          <cell r="P329">
            <v>11.38</v>
          </cell>
          <cell r="Q329">
            <v>18.649999999999999</v>
          </cell>
          <cell r="R329">
            <v>7.2699999999999978</v>
          </cell>
          <cell r="S329">
            <v>18</v>
          </cell>
          <cell r="T329">
            <v>335.7</v>
          </cell>
          <cell r="V329">
            <v>33.57</v>
          </cell>
          <cell r="W329">
            <v>302.13</v>
          </cell>
          <cell r="X329">
            <v>3.77</v>
          </cell>
          <cell r="Y329">
            <v>305.89999999999998</v>
          </cell>
        </row>
        <row r="330">
          <cell r="A330" t="str">
            <v>5518-1</v>
          </cell>
          <cell r="B330">
            <v>41803</v>
          </cell>
          <cell r="C330" t="str">
            <v>2014</v>
          </cell>
          <cell r="D330" t="str">
            <v>Fred Chung</v>
          </cell>
          <cell r="E330" t="str">
            <v>81 MacLeay St,Potts Point</v>
          </cell>
          <cell r="F330" t="str">
            <v>Sydney</v>
          </cell>
          <cell r="G330" t="str">
            <v>NSW</v>
          </cell>
          <cell r="H330" t="str">
            <v>Corporate</v>
          </cell>
          <cell r="I330" t="str">
            <v>Samantha Chairs</v>
          </cell>
          <cell r="J330" t="str">
            <v>Low</v>
          </cell>
          <cell r="K330" t="str">
            <v>Smiths Colored Interoffice Envelopes</v>
          </cell>
          <cell r="L330" t="str">
            <v>Office Supplies</v>
          </cell>
          <cell r="M330" t="str">
            <v>Small Box</v>
          </cell>
          <cell r="N330" t="str">
            <v>Express Air</v>
          </cell>
          <cell r="O330">
            <v>41812</v>
          </cell>
          <cell r="P330">
            <v>19.829999999999998</v>
          </cell>
          <cell r="Q330">
            <v>30.98</v>
          </cell>
          <cell r="R330">
            <v>11.150000000000002</v>
          </cell>
          <cell r="S330">
            <v>46</v>
          </cell>
          <cell r="T330">
            <v>1425.08</v>
          </cell>
          <cell r="V330">
            <v>57.0032</v>
          </cell>
          <cell r="W330">
            <v>1368.0767999999998</v>
          </cell>
          <cell r="X330">
            <v>19.510000000000002</v>
          </cell>
          <cell r="Y330">
            <v>1387.5867999999998</v>
          </cell>
        </row>
        <row r="331">
          <cell r="A331" t="str">
            <v>5520-1</v>
          </cell>
          <cell r="B331">
            <v>41806</v>
          </cell>
          <cell r="C331" t="str">
            <v>2014</v>
          </cell>
          <cell r="D331" t="str">
            <v>Julie Prescott</v>
          </cell>
          <cell r="E331" t="str">
            <v>438 Victoria Avenue,Chatswood</v>
          </cell>
          <cell r="F331" t="str">
            <v>Sydney</v>
          </cell>
          <cell r="G331" t="str">
            <v>NSW</v>
          </cell>
          <cell r="H331" t="str">
            <v>Home Office</v>
          </cell>
          <cell r="I331" t="str">
            <v>Natasha Song</v>
          </cell>
          <cell r="J331" t="str">
            <v>Low</v>
          </cell>
          <cell r="K331" t="str">
            <v>Smiths Standard Envelopes</v>
          </cell>
          <cell r="L331" t="str">
            <v>Office Supplies</v>
          </cell>
          <cell r="M331" t="str">
            <v>Small Box</v>
          </cell>
          <cell r="N331" t="str">
            <v>Regular Air</v>
          </cell>
          <cell r="O331">
            <v>41811</v>
          </cell>
          <cell r="P331">
            <v>3.52</v>
          </cell>
          <cell r="Q331">
            <v>5.68</v>
          </cell>
          <cell r="R331">
            <v>2.1599999999999997</v>
          </cell>
          <cell r="S331">
            <v>32</v>
          </cell>
          <cell r="T331">
            <v>181.76</v>
          </cell>
          <cell r="V331">
            <v>18.175999999999998</v>
          </cell>
          <cell r="W331">
            <v>163.584</v>
          </cell>
          <cell r="X331">
            <v>1.39</v>
          </cell>
          <cell r="Y331">
            <v>164.97399999999999</v>
          </cell>
        </row>
        <row r="332">
          <cell r="A332" t="str">
            <v>5521-1</v>
          </cell>
          <cell r="B332">
            <v>41807</v>
          </cell>
          <cell r="C332" t="str">
            <v>2014</v>
          </cell>
          <cell r="D332" t="str">
            <v>Edward Becker</v>
          </cell>
          <cell r="E332" t="str">
            <v>501 George St,Sydney</v>
          </cell>
          <cell r="F332" t="str">
            <v>Sydney</v>
          </cell>
          <cell r="G332" t="str">
            <v>NSW</v>
          </cell>
          <cell r="H332" t="str">
            <v>Home Office</v>
          </cell>
          <cell r="I332" t="str">
            <v>Samantha Chairs</v>
          </cell>
          <cell r="J332" t="str">
            <v>Medium</v>
          </cell>
          <cell r="K332" t="str">
            <v>Smiths General Use 3-Ring Binders</v>
          </cell>
          <cell r="L332" t="str">
            <v>Office Supplies</v>
          </cell>
          <cell r="M332" t="str">
            <v>Small Box</v>
          </cell>
          <cell r="N332" t="str">
            <v>Regular Air</v>
          </cell>
          <cell r="O332">
            <v>41808</v>
          </cell>
          <cell r="P332">
            <v>1.18</v>
          </cell>
          <cell r="Q332">
            <v>1.88</v>
          </cell>
          <cell r="R332">
            <v>0.7</v>
          </cell>
          <cell r="S332">
            <v>19</v>
          </cell>
          <cell r="T332">
            <v>35.72</v>
          </cell>
          <cell r="V332">
            <v>2.5004</v>
          </cell>
          <cell r="W332">
            <v>33.2196</v>
          </cell>
          <cell r="X332">
            <v>1.49</v>
          </cell>
          <cell r="Y332">
            <v>34.709600000000002</v>
          </cell>
        </row>
        <row r="333">
          <cell r="A333" t="str">
            <v>5523-1</v>
          </cell>
          <cell r="B333">
            <v>41808</v>
          </cell>
          <cell r="C333" t="str">
            <v>2014</v>
          </cell>
          <cell r="D333" t="str">
            <v>Bill Donatelli</v>
          </cell>
          <cell r="E333" t="str">
            <v>8 Orange Street, Perth</v>
          </cell>
          <cell r="F333" t="str">
            <v>Perth</v>
          </cell>
          <cell r="G333" t="str">
            <v>WA</v>
          </cell>
          <cell r="H333" t="str">
            <v>Corporate</v>
          </cell>
          <cell r="I333" t="str">
            <v>Phoebe Gour</v>
          </cell>
          <cell r="J333" t="str">
            <v>High</v>
          </cell>
          <cell r="K333" t="str">
            <v>Message Book, One Form per Page</v>
          </cell>
          <cell r="L333" t="str">
            <v>Office Supplies</v>
          </cell>
          <cell r="M333" t="str">
            <v>Wrap Bag</v>
          </cell>
          <cell r="N333" t="str">
            <v>Regular Air</v>
          </cell>
          <cell r="O333">
            <v>41808</v>
          </cell>
          <cell r="P333">
            <v>2.41</v>
          </cell>
          <cell r="Q333">
            <v>3.71</v>
          </cell>
          <cell r="R333">
            <v>1.2999999999999998</v>
          </cell>
          <cell r="S333">
            <v>39</v>
          </cell>
          <cell r="T333">
            <v>144.69</v>
          </cell>
          <cell r="V333">
            <v>8.6814</v>
          </cell>
          <cell r="W333">
            <v>136.0086</v>
          </cell>
          <cell r="X333">
            <v>1.93</v>
          </cell>
          <cell r="Y333">
            <v>137.93860000000001</v>
          </cell>
        </row>
        <row r="334">
          <cell r="A334" t="str">
            <v>5525-1</v>
          </cell>
          <cell r="B334">
            <v>41808</v>
          </cell>
          <cell r="C334" t="str">
            <v>2014</v>
          </cell>
          <cell r="D334" t="str">
            <v>Toby Swindell</v>
          </cell>
          <cell r="E334" t="str">
            <v>273 George Street,Sydney</v>
          </cell>
          <cell r="F334" t="str">
            <v>Sydney</v>
          </cell>
          <cell r="G334" t="str">
            <v>NSW</v>
          </cell>
          <cell r="H334" t="str">
            <v>Small Business</v>
          </cell>
          <cell r="I334" t="str">
            <v>Leighton Forrest</v>
          </cell>
          <cell r="J334" t="str">
            <v>Critical</v>
          </cell>
          <cell r="K334" t="str">
            <v>Adams "While You Were Out" Message Pads</v>
          </cell>
          <cell r="L334" t="str">
            <v>Office Supplies</v>
          </cell>
          <cell r="M334" t="str">
            <v>Wrap Bag</v>
          </cell>
          <cell r="N334" t="str">
            <v>Regular Air</v>
          </cell>
          <cell r="O334">
            <v>41808</v>
          </cell>
          <cell r="P334">
            <v>1.88</v>
          </cell>
          <cell r="Q334">
            <v>3.14</v>
          </cell>
          <cell r="R334">
            <v>1.2600000000000002</v>
          </cell>
          <cell r="S334">
            <v>32</v>
          </cell>
          <cell r="T334">
            <v>100.48</v>
          </cell>
          <cell r="V334">
            <v>3.0144000000000002</v>
          </cell>
          <cell r="W334">
            <v>97.465600000000009</v>
          </cell>
          <cell r="X334">
            <v>1.1399999999999999</v>
          </cell>
          <cell r="Y334">
            <v>98.60560000000001</v>
          </cell>
        </row>
        <row r="335">
          <cell r="A335" t="str">
            <v>5526-1</v>
          </cell>
          <cell r="B335">
            <v>41809</v>
          </cell>
          <cell r="C335" t="str">
            <v>2014</v>
          </cell>
          <cell r="D335" t="str">
            <v>Barry Pond</v>
          </cell>
          <cell r="E335" t="str">
            <v>1/20 Pendal Lane, Perth</v>
          </cell>
          <cell r="F335" t="str">
            <v>Melbourne</v>
          </cell>
          <cell r="G335" t="str">
            <v>VIC</v>
          </cell>
          <cell r="H335" t="str">
            <v>Consumer</v>
          </cell>
          <cell r="I335" t="str">
            <v>Connor Betts</v>
          </cell>
          <cell r="J335" t="str">
            <v>Medium</v>
          </cell>
          <cell r="K335" t="str">
            <v>DrawIt Colored Pencils, 48-Color Set</v>
          </cell>
          <cell r="L335" t="str">
            <v>Office Supplies</v>
          </cell>
          <cell r="M335" t="str">
            <v>Wrap Bag</v>
          </cell>
          <cell r="N335" t="str">
            <v>Regular Air</v>
          </cell>
          <cell r="O335">
            <v>41811</v>
          </cell>
          <cell r="P335">
            <v>21.56</v>
          </cell>
          <cell r="Q335">
            <v>36.549999999999997</v>
          </cell>
          <cell r="R335">
            <v>14.989999999999998</v>
          </cell>
          <cell r="S335">
            <v>48</v>
          </cell>
          <cell r="T335">
            <v>1754.3999999999999</v>
          </cell>
          <cell r="V335">
            <v>122.80800000000001</v>
          </cell>
          <cell r="W335">
            <v>1631.5919999999999</v>
          </cell>
          <cell r="X335">
            <v>13.89</v>
          </cell>
          <cell r="Y335">
            <v>1645.482</v>
          </cell>
        </row>
        <row r="336">
          <cell r="A336" t="str">
            <v>5527-1</v>
          </cell>
          <cell r="B336">
            <v>41809</v>
          </cell>
          <cell r="C336" t="str">
            <v>2014</v>
          </cell>
          <cell r="D336" t="str">
            <v>Jim Mitchum</v>
          </cell>
          <cell r="E336" t="str">
            <v>85-113 Dunning Ave,Rosebery</v>
          </cell>
          <cell r="F336" t="str">
            <v>Sydney</v>
          </cell>
          <cell r="G336" t="str">
            <v>NSW</v>
          </cell>
          <cell r="H336" t="str">
            <v>Consumer</v>
          </cell>
          <cell r="I336" t="str">
            <v>Mihael Khan</v>
          </cell>
          <cell r="J336" t="str">
            <v>Not Specified</v>
          </cell>
          <cell r="K336" t="str">
            <v>Laser DVD-RAM discs</v>
          </cell>
          <cell r="L336" t="str">
            <v>Technology</v>
          </cell>
          <cell r="M336" t="str">
            <v>Small Pack</v>
          </cell>
          <cell r="N336" t="str">
            <v>Regular Air</v>
          </cell>
          <cell r="O336">
            <v>41811</v>
          </cell>
          <cell r="P336">
            <v>20.18</v>
          </cell>
          <cell r="Q336">
            <v>35.409999999999997</v>
          </cell>
          <cell r="R336">
            <v>15.229999999999997</v>
          </cell>
          <cell r="S336">
            <v>21</v>
          </cell>
          <cell r="T336">
            <v>743.6099999999999</v>
          </cell>
          <cell r="V336">
            <v>7.4360999999999988</v>
          </cell>
          <cell r="W336">
            <v>736.17389999999989</v>
          </cell>
          <cell r="X336">
            <v>1.99</v>
          </cell>
          <cell r="Y336">
            <v>738.1638999999999</v>
          </cell>
        </row>
        <row r="337">
          <cell r="A337" t="str">
            <v>5529-1</v>
          </cell>
          <cell r="B337">
            <v>41809</v>
          </cell>
          <cell r="C337" t="str">
            <v>2014</v>
          </cell>
          <cell r="D337" t="str">
            <v>Bruce Degenhardt</v>
          </cell>
          <cell r="E337" t="str">
            <v>501 George St,Sydney</v>
          </cell>
          <cell r="F337" t="str">
            <v>Sydney</v>
          </cell>
          <cell r="G337" t="str">
            <v>NSW</v>
          </cell>
          <cell r="H337" t="str">
            <v>Home Office</v>
          </cell>
          <cell r="I337" t="str">
            <v>Samantha Chairs</v>
          </cell>
          <cell r="J337" t="str">
            <v>High</v>
          </cell>
          <cell r="K337" t="str">
            <v>Multimedia Mailers</v>
          </cell>
          <cell r="L337" t="str">
            <v>Office Supplies</v>
          </cell>
          <cell r="M337" t="str">
            <v>Small Box</v>
          </cell>
          <cell r="N337" t="str">
            <v>Regular Air</v>
          </cell>
          <cell r="O337">
            <v>41811</v>
          </cell>
          <cell r="P337">
            <v>99.39</v>
          </cell>
          <cell r="Q337">
            <v>162.93</v>
          </cell>
          <cell r="R337">
            <v>63.540000000000006</v>
          </cell>
          <cell r="S337">
            <v>16</v>
          </cell>
          <cell r="T337">
            <v>2606.88</v>
          </cell>
          <cell r="V337">
            <v>260.68800000000005</v>
          </cell>
          <cell r="W337">
            <v>2346.192</v>
          </cell>
          <cell r="X337">
            <v>19.989999999999998</v>
          </cell>
          <cell r="Y337">
            <v>2366.1819999999998</v>
          </cell>
        </row>
        <row r="338">
          <cell r="A338" t="str">
            <v>5531-1</v>
          </cell>
          <cell r="B338">
            <v>41812</v>
          </cell>
          <cell r="C338" t="str">
            <v>2014</v>
          </cell>
          <cell r="D338" t="str">
            <v>Luke Weiss</v>
          </cell>
          <cell r="E338" t="str">
            <v>88 Oxford St,Woollahra</v>
          </cell>
          <cell r="F338" t="str">
            <v>Sydney</v>
          </cell>
          <cell r="G338" t="str">
            <v>NSW</v>
          </cell>
          <cell r="H338" t="str">
            <v>Corporate</v>
          </cell>
          <cell r="I338" t="str">
            <v>Charlie Bui</v>
          </cell>
          <cell r="J338" t="str">
            <v>Not Specified</v>
          </cell>
          <cell r="K338" t="str">
            <v>3Max Polarizing Task Lamp with Clamp Arm, Light Gray</v>
          </cell>
          <cell r="L338" t="str">
            <v>Furniture</v>
          </cell>
          <cell r="M338" t="str">
            <v>Large Box</v>
          </cell>
          <cell r="N338" t="str">
            <v>Express Air</v>
          </cell>
          <cell r="O338">
            <v>41814</v>
          </cell>
          <cell r="P338">
            <v>56.16</v>
          </cell>
          <cell r="Q338">
            <v>136.97999999999999</v>
          </cell>
          <cell r="R338">
            <v>80.819999999999993</v>
          </cell>
          <cell r="S338">
            <v>17</v>
          </cell>
          <cell r="T338">
            <v>2328.66</v>
          </cell>
          <cell r="V338">
            <v>0</v>
          </cell>
          <cell r="W338">
            <v>2328.66</v>
          </cell>
          <cell r="X338">
            <v>24.49</v>
          </cell>
          <cell r="Y338">
            <v>2353.1499999999996</v>
          </cell>
        </row>
        <row r="339">
          <cell r="A339" t="str">
            <v>5533-1</v>
          </cell>
          <cell r="B339">
            <v>41812</v>
          </cell>
          <cell r="C339" t="str">
            <v>2014</v>
          </cell>
          <cell r="D339" t="str">
            <v>Craig Leslie</v>
          </cell>
          <cell r="E339" t="str">
            <v>10 Bligh St,Melbourne</v>
          </cell>
          <cell r="F339" t="str">
            <v>Melbourne</v>
          </cell>
          <cell r="G339" t="str">
            <v>VIC</v>
          </cell>
          <cell r="H339" t="str">
            <v>Consumer</v>
          </cell>
          <cell r="I339" t="str">
            <v>Connor Betts</v>
          </cell>
          <cell r="J339" t="str">
            <v>Medium</v>
          </cell>
          <cell r="K339" t="str">
            <v>Artisan 478 Labels</v>
          </cell>
          <cell r="L339" t="str">
            <v>Office Supplies</v>
          </cell>
          <cell r="M339" t="str">
            <v>Small Box</v>
          </cell>
          <cell r="N339" t="str">
            <v>Express Air</v>
          </cell>
          <cell r="O339">
            <v>41814</v>
          </cell>
          <cell r="P339">
            <v>3.14</v>
          </cell>
          <cell r="Q339">
            <v>4.91</v>
          </cell>
          <cell r="R339">
            <v>1.77</v>
          </cell>
          <cell r="S339">
            <v>24</v>
          </cell>
          <cell r="T339">
            <v>117.84</v>
          </cell>
          <cell r="V339">
            <v>1.1784000000000001</v>
          </cell>
          <cell r="W339">
            <v>116.66160000000001</v>
          </cell>
          <cell r="X339">
            <v>0.5</v>
          </cell>
          <cell r="Y339">
            <v>117.16160000000001</v>
          </cell>
        </row>
        <row r="340">
          <cell r="A340" t="str">
            <v>5534-1</v>
          </cell>
          <cell r="B340">
            <v>41813</v>
          </cell>
          <cell r="C340" t="str">
            <v>2014</v>
          </cell>
          <cell r="D340" t="str">
            <v>Frank Hawley</v>
          </cell>
          <cell r="E340" t="str">
            <v>Shop 1 797 Botany Rd,Rosebery</v>
          </cell>
          <cell r="F340" t="str">
            <v>Sydney</v>
          </cell>
          <cell r="G340" t="str">
            <v>NSW</v>
          </cell>
          <cell r="H340" t="str">
            <v>Home Office</v>
          </cell>
          <cell r="I340" t="str">
            <v>Phoebe Gour</v>
          </cell>
          <cell r="J340" t="str">
            <v>Medium</v>
          </cell>
          <cell r="K340" t="str">
            <v>Artisan 474 Labels</v>
          </cell>
          <cell r="L340" t="str">
            <v>Office Supplies</v>
          </cell>
          <cell r="M340" t="str">
            <v>Small Box</v>
          </cell>
          <cell r="N340" t="str">
            <v>Regular Air</v>
          </cell>
          <cell r="O340">
            <v>41813</v>
          </cell>
          <cell r="P340">
            <v>1.84</v>
          </cell>
          <cell r="Q340">
            <v>2.88</v>
          </cell>
          <cell r="R340">
            <v>1.0399999999999998</v>
          </cell>
          <cell r="S340">
            <v>8</v>
          </cell>
          <cell r="T340">
            <v>23.04</v>
          </cell>
          <cell r="V340">
            <v>1.6128</v>
          </cell>
          <cell r="W340">
            <v>21.427199999999999</v>
          </cell>
          <cell r="X340">
            <v>0.99</v>
          </cell>
          <cell r="Y340">
            <v>22.417199999999998</v>
          </cell>
        </row>
        <row r="341">
          <cell r="A341" t="str">
            <v>5536-1</v>
          </cell>
          <cell r="B341">
            <v>41815</v>
          </cell>
          <cell r="C341" t="str">
            <v>2014</v>
          </cell>
          <cell r="D341" t="str">
            <v>Nora Paige</v>
          </cell>
          <cell r="E341" t="str">
            <v>85-113 Dunning Ave,Roseberry</v>
          </cell>
          <cell r="F341" t="str">
            <v>Sydney</v>
          </cell>
          <cell r="G341" t="str">
            <v>NSW</v>
          </cell>
          <cell r="H341" t="str">
            <v>Small Business</v>
          </cell>
          <cell r="I341" t="str">
            <v>Mihael Khan</v>
          </cell>
          <cell r="J341" t="str">
            <v>Not Specified</v>
          </cell>
          <cell r="K341" t="str">
            <v>Steady 52201 APSCO Electric Pencil Sharpener</v>
          </cell>
          <cell r="L341" t="str">
            <v>Office Supplies</v>
          </cell>
          <cell r="M341" t="str">
            <v>Small Pack</v>
          </cell>
          <cell r="N341" t="str">
            <v>Regular Air</v>
          </cell>
          <cell r="O341">
            <v>41815</v>
          </cell>
          <cell r="P341">
            <v>16.8</v>
          </cell>
          <cell r="Q341">
            <v>40.97</v>
          </cell>
          <cell r="R341">
            <v>24.169999999999998</v>
          </cell>
          <cell r="S341">
            <v>47</v>
          </cell>
          <cell r="T341">
            <v>1925.59</v>
          </cell>
          <cell r="V341">
            <v>115.5354</v>
          </cell>
          <cell r="W341">
            <v>1810.0545999999999</v>
          </cell>
          <cell r="X341">
            <v>8.99</v>
          </cell>
          <cell r="Y341">
            <v>1819.0445999999999</v>
          </cell>
        </row>
        <row r="342">
          <cell r="A342" t="str">
            <v>5537-1</v>
          </cell>
          <cell r="B342">
            <v>41817</v>
          </cell>
          <cell r="C342" t="str">
            <v>2014</v>
          </cell>
          <cell r="D342" t="str">
            <v>Alejandro Ballentine</v>
          </cell>
          <cell r="E342" t="str">
            <v>412 Brunswick St,Fitzroy</v>
          </cell>
          <cell r="F342" t="str">
            <v>Melbourne</v>
          </cell>
          <cell r="G342" t="str">
            <v>VIC</v>
          </cell>
          <cell r="H342" t="str">
            <v>Small Business</v>
          </cell>
          <cell r="I342" t="str">
            <v>Connor Betts</v>
          </cell>
          <cell r="J342" t="str">
            <v>High</v>
          </cell>
          <cell r="K342" t="str">
            <v>Barrel Sharpener</v>
          </cell>
          <cell r="L342" t="str">
            <v>Office Supplies</v>
          </cell>
          <cell r="M342" t="str">
            <v>Small Pack</v>
          </cell>
          <cell r="N342" t="str">
            <v>Regular Air</v>
          </cell>
          <cell r="O342">
            <v>41818</v>
          </cell>
          <cell r="P342">
            <v>1.46</v>
          </cell>
          <cell r="Q342">
            <v>3.57</v>
          </cell>
          <cell r="R342">
            <v>2.11</v>
          </cell>
          <cell r="S342">
            <v>46</v>
          </cell>
          <cell r="T342">
            <v>164.22</v>
          </cell>
          <cell r="V342">
            <v>1.6422000000000001</v>
          </cell>
          <cell r="W342">
            <v>162.5778</v>
          </cell>
          <cell r="X342">
            <v>4.17</v>
          </cell>
          <cell r="Y342">
            <v>166.74779999999998</v>
          </cell>
        </row>
        <row r="343">
          <cell r="A343" t="str">
            <v>5539-1</v>
          </cell>
          <cell r="B343">
            <v>41819</v>
          </cell>
          <cell r="C343" t="str">
            <v>2014</v>
          </cell>
          <cell r="D343" t="str">
            <v>Daniel Byrd</v>
          </cell>
          <cell r="E343" t="str">
            <v>127 Liverpool St,Sydney</v>
          </cell>
          <cell r="F343" t="str">
            <v>Sydney</v>
          </cell>
          <cell r="G343" t="str">
            <v>NSW</v>
          </cell>
          <cell r="H343" t="str">
            <v>Home Office</v>
          </cell>
          <cell r="I343" t="str">
            <v>Samantha Chairs</v>
          </cell>
          <cell r="J343" t="str">
            <v>Not Specified</v>
          </cell>
          <cell r="K343" t="str">
            <v>Angle-D Binders with Locking Rings, Label Holders</v>
          </cell>
          <cell r="L343" t="str">
            <v>Office Supplies</v>
          </cell>
          <cell r="M343" t="str">
            <v>Small Box</v>
          </cell>
          <cell r="N343" t="str">
            <v>Regular Air</v>
          </cell>
          <cell r="O343">
            <v>41820</v>
          </cell>
          <cell r="P343">
            <v>4.53</v>
          </cell>
          <cell r="Q343">
            <v>7.3</v>
          </cell>
          <cell r="R343">
            <v>2.7699999999999996</v>
          </cell>
          <cell r="S343">
            <v>50</v>
          </cell>
          <cell r="T343">
            <v>365</v>
          </cell>
          <cell r="V343">
            <v>7.3</v>
          </cell>
          <cell r="W343">
            <v>357.7</v>
          </cell>
          <cell r="X343">
            <v>7.72</v>
          </cell>
          <cell r="Y343">
            <v>365.42</v>
          </cell>
        </row>
        <row r="344">
          <cell r="A344" t="str">
            <v>5539-2</v>
          </cell>
          <cell r="B344">
            <v>41819</v>
          </cell>
          <cell r="C344" t="str">
            <v>2014</v>
          </cell>
          <cell r="D344" t="str">
            <v>Daniel Byrd</v>
          </cell>
          <cell r="E344" t="str">
            <v>127 Liverpool St,Sydney</v>
          </cell>
          <cell r="F344" t="str">
            <v>Sydney</v>
          </cell>
          <cell r="G344" t="str">
            <v>NSW</v>
          </cell>
          <cell r="H344" t="str">
            <v>Home Office</v>
          </cell>
          <cell r="I344" t="str">
            <v>Samantha Chairs</v>
          </cell>
          <cell r="J344" t="str">
            <v>Not Specified</v>
          </cell>
          <cell r="K344" t="str">
            <v>Smiths Paper Clips</v>
          </cell>
          <cell r="L344" t="str">
            <v>Office Supplies</v>
          </cell>
          <cell r="M344" t="str">
            <v>Wrap Bag</v>
          </cell>
          <cell r="N344" t="str">
            <v>Regular Air</v>
          </cell>
          <cell r="O344">
            <v>41820</v>
          </cell>
          <cell r="P344">
            <v>1.53</v>
          </cell>
          <cell r="Q344">
            <v>2.4700000000000002</v>
          </cell>
          <cell r="R344">
            <v>0.94000000000000017</v>
          </cell>
          <cell r="S344">
            <v>43</v>
          </cell>
          <cell r="T344">
            <v>106.21000000000001</v>
          </cell>
          <cell r="V344">
            <v>2.1242000000000001</v>
          </cell>
          <cell r="W344">
            <v>104.08580000000001</v>
          </cell>
          <cell r="X344">
            <v>1.02</v>
          </cell>
          <cell r="Y344">
            <v>105.1058</v>
          </cell>
        </row>
        <row r="345">
          <cell r="A345" t="str">
            <v>5541-1</v>
          </cell>
          <cell r="B345">
            <v>41819</v>
          </cell>
          <cell r="C345" t="str">
            <v>2014</v>
          </cell>
          <cell r="D345" t="str">
            <v>Christine Abelman</v>
          </cell>
          <cell r="E345" t="str">
            <v>Sydney Fish Market, Bank Street, Sydney</v>
          </cell>
          <cell r="F345" t="str">
            <v>Sydney</v>
          </cell>
          <cell r="G345" t="str">
            <v>NSW</v>
          </cell>
          <cell r="H345" t="str">
            <v>Corporate</v>
          </cell>
          <cell r="I345" t="str">
            <v>Phoebe Gour</v>
          </cell>
          <cell r="J345" t="str">
            <v>Medium</v>
          </cell>
          <cell r="K345" t="str">
            <v>Artisan 479 Labels</v>
          </cell>
          <cell r="L345" t="str">
            <v>Office Supplies</v>
          </cell>
          <cell r="M345" t="str">
            <v>Small Box</v>
          </cell>
          <cell r="N345" t="str">
            <v>Regular Air</v>
          </cell>
          <cell r="O345">
            <v>41819</v>
          </cell>
          <cell r="P345">
            <v>1.59</v>
          </cell>
          <cell r="Q345">
            <v>2.61</v>
          </cell>
          <cell r="R345">
            <v>1.0199999999999998</v>
          </cell>
          <cell r="S345">
            <v>44</v>
          </cell>
          <cell r="T345">
            <v>114.83999999999999</v>
          </cell>
          <cell r="V345">
            <v>10.335599999999999</v>
          </cell>
          <cell r="W345">
            <v>104.50439999999999</v>
          </cell>
          <cell r="X345">
            <v>0.5</v>
          </cell>
          <cell r="Y345">
            <v>105.00439999999999</v>
          </cell>
        </row>
        <row r="346">
          <cell r="A346" t="str">
            <v>5544-1</v>
          </cell>
          <cell r="B346">
            <v>41819</v>
          </cell>
          <cell r="C346" t="str">
            <v>2014</v>
          </cell>
          <cell r="D346" t="str">
            <v>William Brown</v>
          </cell>
          <cell r="E346" t="str">
            <v>3 Carrington Road ,Box Hill</v>
          </cell>
          <cell r="F346" t="str">
            <v>Melbourne</v>
          </cell>
          <cell r="G346" t="str">
            <v>VIC</v>
          </cell>
          <cell r="H346" t="str">
            <v>Corporate</v>
          </cell>
          <cell r="I346" t="str">
            <v>Yvette Biti</v>
          </cell>
          <cell r="J346" t="str">
            <v>Not Specified</v>
          </cell>
          <cell r="K346" t="str">
            <v>TechSavi Cordless Access Keyboard</v>
          </cell>
          <cell r="L346" t="str">
            <v>Technology</v>
          </cell>
          <cell r="M346" t="str">
            <v>Small Box</v>
          </cell>
          <cell r="N346" t="str">
            <v>Regular Air</v>
          </cell>
          <cell r="O346">
            <v>41820</v>
          </cell>
          <cell r="P346">
            <v>14.7</v>
          </cell>
          <cell r="Q346">
            <v>29.99</v>
          </cell>
          <cell r="R346">
            <v>15.29</v>
          </cell>
          <cell r="S346">
            <v>20</v>
          </cell>
          <cell r="T346">
            <v>599.79999999999995</v>
          </cell>
          <cell r="V346">
            <v>0</v>
          </cell>
          <cell r="W346">
            <v>599.79999999999995</v>
          </cell>
          <cell r="X346">
            <v>5.5</v>
          </cell>
          <cell r="Y346">
            <v>605.29999999999995</v>
          </cell>
        </row>
        <row r="347">
          <cell r="A347" t="str">
            <v>5546-1</v>
          </cell>
          <cell r="B347">
            <v>41820</v>
          </cell>
          <cell r="C347" t="str">
            <v>2014</v>
          </cell>
          <cell r="D347" t="str">
            <v>Monica Federle</v>
          </cell>
          <cell r="E347" t="str">
            <v>834 Bourke St,Waterloo</v>
          </cell>
          <cell r="F347" t="str">
            <v>Sydney</v>
          </cell>
          <cell r="G347" t="str">
            <v>NSW</v>
          </cell>
          <cell r="H347" t="str">
            <v>Corporate</v>
          </cell>
          <cell r="I347" t="str">
            <v>Charlie Bui</v>
          </cell>
          <cell r="J347" t="str">
            <v>Medium</v>
          </cell>
          <cell r="K347" t="str">
            <v>Alto Perma 2700 Stacking Storage Drawers</v>
          </cell>
          <cell r="L347" t="str">
            <v>Office Supplies</v>
          </cell>
          <cell r="M347" t="str">
            <v>Small Box</v>
          </cell>
          <cell r="N347" t="str">
            <v>Regular Air</v>
          </cell>
          <cell r="O347">
            <v>41823</v>
          </cell>
          <cell r="P347">
            <v>8.92</v>
          </cell>
          <cell r="Q347">
            <v>29.74</v>
          </cell>
          <cell r="R347">
            <v>20.82</v>
          </cell>
          <cell r="S347">
            <v>4</v>
          </cell>
          <cell r="T347">
            <v>118.96</v>
          </cell>
          <cell r="V347">
            <v>5.9480000000000004</v>
          </cell>
          <cell r="W347">
            <v>113.012</v>
          </cell>
          <cell r="X347">
            <v>6.64</v>
          </cell>
          <cell r="Y347">
            <v>119.652</v>
          </cell>
        </row>
        <row r="348">
          <cell r="A348" t="str">
            <v>5547-1</v>
          </cell>
          <cell r="B348">
            <v>41824</v>
          </cell>
          <cell r="C348" t="str">
            <v>2014</v>
          </cell>
          <cell r="D348" t="str">
            <v>Mike Gockenbach</v>
          </cell>
          <cell r="E348" t="str">
            <v>180 High Street,Windsor</v>
          </cell>
          <cell r="F348" t="str">
            <v>Melbourne</v>
          </cell>
          <cell r="G348" t="str">
            <v>VIC</v>
          </cell>
          <cell r="H348" t="str">
            <v>Consumer</v>
          </cell>
          <cell r="I348" t="str">
            <v>Connor Betts</v>
          </cell>
          <cell r="J348" t="str">
            <v>High</v>
          </cell>
          <cell r="K348" t="str">
            <v>Alto Memo Cubes</v>
          </cell>
          <cell r="L348" t="str">
            <v>Office Supplies</v>
          </cell>
          <cell r="M348" t="str">
            <v>Wrap Bag</v>
          </cell>
          <cell r="N348" t="str">
            <v>Regular Air</v>
          </cell>
          <cell r="O348">
            <v>41826</v>
          </cell>
          <cell r="P348">
            <v>3.32</v>
          </cell>
          <cell r="Q348">
            <v>5.18</v>
          </cell>
          <cell r="R348">
            <v>1.8599999999999999</v>
          </cell>
          <cell r="S348">
            <v>43</v>
          </cell>
          <cell r="T348">
            <v>222.73999999999998</v>
          </cell>
          <cell r="V348">
            <v>6.682199999999999</v>
          </cell>
          <cell r="W348">
            <v>216.05779999999999</v>
          </cell>
          <cell r="X348">
            <v>2.04</v>
          </cell>
          <cell r="Y348">
            <v>218.09779999999998</v>
          </cell>
        </row>
        <row r="349">
          <cell r="A349" t="str">
            <v>5548-1</v>
          </cell>
          <cell r="B349">
            <v>41825</v>
          </cell>
          <cell r="C349" t="str">
            <v>2014</v>
          </cell>
          <cell r="D349" t="str">
            <v>James Galang</v>
          </cell>
          <cell r="E349" t="str">
            <v>Westfield 1 Anderson St,Chatswood</v>
          </cell>
          <cell r="F349" t="str">
            <v>Sydney</v>
          </cell>
          <cell r="G349" t="str">
            <v>NSW</v>
          </cell>
          <cell r="H349" t="str">
            <v>Consumer</v>
          </cell>
          <cell r="I349" t="str">
            <v>Nicholas Fernandes</v>
          </cell>
          <cell r="J349" t="str">
            <v>Critical</v>
          </cell>
          <cell r="K349" t="str">
            <v>Artisan File Folder Labels</v>
          </cell>
          <cell r="L349" t="str">
            <v>Office Supplies</v>
          </cell>
          <cell r="M349" t="str">
            <v>Small Box</v>
          </cell>
          <cell r="N349" t="str">
            <v>Regular Air</v>
          </cell>
          <cell r="O349">
            <v>41828</v>
          </cell>
          <cell r="P349">
            <v>1.84</v>
          </cell>
          <cell r="Q349">
            <v>2.88</v>
          </cell>
          <cell r="R349">
            <v>1.0399999999999998</v>
          </cell>
          <cell r="S349">
            <v>47</v>
          </cell>
          <cell r="T349">
            <v>135.35999999999999</v>
          </cell>
          <cell r="V349">
            <v>4.0607999999999995</v>
          </cell>
          <cell r="W349">
            <v>131.29919999999998</v>
          </cell>
          <cell r="X349">
            <v>5.33</v>
          </cell>
          <cell r="Y349">
            <v>136.6292</v>
          </cell>
        </row>
        <row r="350">
          <cell r="A350" t="str">
            <v>5549-1</v>
          </cell>
          <cell r="B350">
            <v>41831</v>
          </cell>
          <cell r="C350" t="str">
            <v>2014</v>
          </cell>
          <cell r="D350" t="str">
            <v>Sanjit Jacobs</v>
          </cell>
          <cell r="E350" t="str">
            <v>541 Church St,Richmond</v>
          </cell>
          <cell r="F350" t="str">
            <v>Melbourne</v>
          </cell>
          <cell r="G350" t="str">
            <v>VIC</v>
          </cell>
          <cell r="H350" t="str">
            <v>Consumer</v>
          </cell>
          <cell r="I350" t="str">
            <v>Yvette Biti</v>
          </cell>
          <cell r="J350" t="str">
            <v>High</v>
          </cell>
          <cell r="K350" t="str">
            <v>TechSavi Access Keyboard</v>
          </cell>
          <cell r="L350" t="str">
            <v>Technology</v>
          </cell>
          <cell r="M350" t="str">
            <v>Small Box</v>
          </cell>
          <cell r="N350" t="str">
            <v>Regular Air</v>
          </cell>
          <cell r="O350">
            <v>41833</v>
          </cell>
          <cell r="P350">
            <v>8.31</v>
          </cell>
          <cell r="Q350">
            <v>15.98</v>
          </cell>
          <cell r="R350">
            <v>7.67</v>
          </cell>
          <cell r="S350">
            <v>40</v>
          </cell>
          <cell r="T350">
            <v>639.20000000000005</v>
          </cell>
          <cell r="V350">
            <v>19.176000000000002</v>
          </cell>
          <cell r="W350">
            <v>620.024</v>
          </cell>
          <cell r="X350">
            <v>6.5</v>
          </cell>
          <cell r="Y350">
            <v>626.524</v>
          </cell>
        </row>
        <row r="351">
          <cell r="A351" t="str">
            <v>5551-1</v>
          </cell>
          <cell r="B351">
            <v>41832</v>
          </cell>
          <cell r="C351" t="str">
            <v>2014</v>
          </cell>
          <cell r="D351" t="str">
            <v>Raymond Book</v>
          </cell>
          <cell r="E351" t="str">
            <v>Shop 1, 186-190 Church Street,Parramatta;46a Macleay Street,Potts Point</v>
          </cell>
          <cell r="F351" t="str">
            <v>Sydney</v>
          </cell>
          <cell r="G351" t="str">
            <v>NSW</v>
          </cell>
          <cell r="H351" t="str">
            <v>Consumer</v>
          </cell>
          <cell r="I351" t="str">
            <v>Mihael Khan</v>
          </cell>
          <cell r="J351" t="str">
            <v>Medium</v>
          </cell>
          <cell r="K351" t="str">
            <v>Artisan Round Ring Poly Binders</v>
          </cell>
          <cell r="L351" t="str">
            <v>Office Supplies</v>
          </cell>
          <cell r="M351" t="str">
            <v>Small Box</v>
          </cell>
          <cell r="N351" t="str">
            <v>Regular Air</v>
          </cell>
          <cell r="O351">
            <v>41834</v>
          </cell>
          <cell r="P351">
            <v>1.82</v>
          </cell>
          <cell r="Q351">
            <v>2.84</v>
          </cell>
          <cell r="R351">
            <v>1.0199999999999998</v>
          </cell>
          <cell r="S351">
            <v>19</v>
          </cell>
          <cell r="T351">
            <v>53.959999999999994</v>
          </cell>
          <cell r="V351">
            <v>0</v>
          </cell>
          <cell r="W351">
            <v>53.959999999999994</v>
          </cell>
          <cell r="X351">
            <v>5.44</v>
          </cell>
          <cell r="Y351">
            <v>59.399999999999991</v>
          </cell>
        </row>
        <row r="352">
          <cell r="A352" t="str">
            <v>5552-1</v>
          </cell>
          <cell r="B352">
            <v>41835</v>
          </cell>
          <cell r="C352" t="str">
            <v>2014</v>
          </cell>
          <cell r="D352" t="str">
            <v>Bobby Odegard</v>
          </cell>
          <cell r="E352" t="str">
            <v>37/59 Brewer Street, Perth</v>
          </cell>
          <cell r="F352" t="str">
            <v>Melbourne</v>
          </cell>
          <cell r="G352" t="str">
            <v>VIC</v>
          </cell>
          <cell r="H352" t="str">
            <v>Corporate</v>
          </cell>
          <cell r="I352" t="str">
            <v>Connor Betts</v>
          </cell>
          <cell r="J352" t="str">
            <v>Not Specified</v>
          </cell>
          <cell r="K352" t="str">
            <v>Laser Neon Mac Format Diskettes, 10/Pack</v>
          </cell>
          <cell r="L352" t="str">
            <v>Technology</v>
          </cell>
          <cell r="M352" t="str">
            <v>Small Pack</v>
          </cell>
          <cell r="N352" t="str">
            <v>Regular Air</v>
          </cell>
          <cell r="O352">
            <v>41837</v>
          </cell>
          <cell r="P352">
            <v>1.87</v>
          </cell>
          <cell r="Q352">
            <v>8.1199999999999992</v>
          </cell>
          <cell r="R352">
            <v>6.2499999999999991</v>
          </cell>
          <cell r="S352">
            <v>4</v>
          </cell>
          <cell r="T352">
            <v>32.479999999999997</v>
          </cell>
          <cell r="V352">
            <v>2.2736000000000001</v>
          </cell>
          <cell r="W352">
            <v>30.206399999999995</v>
          </cell>
          <cell r="X352">
            <v>2.83</v>
          </cell>
          <cell r="Y352">
            <v>33.036399999999993</v>
          </cell>
        </row>
        <row r="353">
          <cell r="A353" t="str">
            <v>5554-1</v>
          </cell>
          <cell r="B353">
            <v>41837</v>
          </cell>
          <cell r="C353" t="str">
            <v>2014</v>
          </cell>
          <cell r="D353" t="str">
            <v>Eric Barreto</v>
          </cell>
          <cell r="E353" t="str">
            <v>14 Money Street</v>
          </cell>
          <cell r="F353" t="str">
            <v>Perth</v>
          </cell>
          <cell r="G353" t="str">
            <v>WA</v>
          </cell>
          <cell r="H353" t="str">
            <v>Small Business</v>
          </cell>
          <cell r="I353" t="str">
            <v>Phoebe Gour</v>
          </cell>
          <cell r="J353" t="str">
            <v>High</v>
          </cell>
          <cell r="K353" t="str">
            <v>Alto 3-Hole Punch</v>
          </cell>
          <cell r="L353" t="str">
            <v>Office Supplies</v>
          </cell>
          <cell r="M353" t="str">
            <v>Small Box</v>
          </cell>
          <cell r="N353" t="str">
            <v>Regular Air</v>
          </cell>
          <cell r="O353">
            <v>41838</v>
          </cell>
          <cell r="P353">
            <v>2.76</v>
          </cell>
          <cell r="Q353">
            <v>4.38</v>
          </cell>
          <cell r="R353">
            <v>1.62</v>
          </cell>
          <cell r="S353">
            <v>18</v>
          </cell>
          <cell r="T353">
            <v>78.84</v>
          </cell>
          <cell r="V353">
            <v>2.3652000000000002</v>
          </cell>
          <cell r="W353">
            <v>76.474800000000002</v>
          </cell>
          <cell r="X353">
            <v>6.21</v>
          </cell>
          <cell r="Y353">
            <v>82.684799999999996</v>
          </cell>
        </row>
        <row r="354">
          <cell r="A354" t="str">
            <v>5556-1</v>
          </cell>
          <cell r="B354">
            <v>41838</v>
          </cell>
          <cell r="C354" t="str">
            <v>2014</v>
          </cell>
          <cell r="D354" t="str">
            <v>Art Miller</v>
          </cell>
          <cell r="E354" t="str">
            <v>14 Money Street, Perth</v>
          </cell>
          <cell r="F354" t="str">
            <v>Sydney</v>
          </cell>
          <cell r="G354" t="str">
            <v>NSW</v>
          </cell>
          <cell r="H354" t="str">
            <v>Corporate</v>
          </cell>
          <cell r="I354" t="str">
            <v>Leighton Forrest</v>
          </cell>
          <cell r="J354" t="str">
            <v>Medium</v>
          </cell>
          <cell r="K354" t="str">
            <v>Artisan 474 Labels</v>
          </cell>
          <cell r="L354" t="str">
            <v>Office Supplies</v>
          </cell>
          <cell r="M354" t="str">
            <v>Small Box</v>
          </cell>
          <cell r="N354" t="str">
            <v>Regular Air</v>
          </cell>
          <cell r="O354">
            <v>41839</v>
          </cell>
          <cell r="P354">
            <v>1.84</v>
          </cell>
          <cell r="Q354">
            <v>2.88</v>
          </cell>
          <cell r="R354">
            <v>1.0399999999999998</v>
          </cell>
          <cell r="S354">
            <v>10</v>
          </cell>
          <cell r="T354">
            <v>28.799999999999997</v>
          </cell>
          <cell r="V354">
            <v>0.28799999999999998</v>
          </cell>
          <cell r="W354">
            <v>28.511999999999997</v>
          </cell>
          <cell r="X354">
            <v>0.99</v>
          </cell>
          <cell r="Y354">
            <v>29.501999999999995</v>
          </cell>
        </row>
        <row r="355">
          <cell r="A355" t="str">
            <v>5558-1</v>
          </cell>
          <cell r="B355">
            <v>41838</v>
          </cell>
          <cell r="C355" t="str">
            <v>2014</v>
          </cell>
          <cell r="D355" t="str">
            <v>Julia Dunbar</v>
          </cell>
          <cell r="E355" t="str">
            <v>3/265 Stirling Street</v>
          </cell>
          <cell r="F355" t="str">
            <v>Perth</v>
          </cell>
          <cell r="G355" t="str">
            <v>WA</v>
          </cell>
          <cell r="H355" t="str">
            <v>Consumer</v>
          </cell>
          <cell r="I355" t="str">
            <v>Phoebe Gour</v>
          </cell>
          <cell r="J355" t="str">
            <v>Low</v>
          </cell>
          <cell r="K355" t="str">
            <v>Colored Push Pins</v>
          </cell>
          <cell r="L355" t="str">
            <v>Office Supplies</v>
          </cell>
          <cell r="M355" t="str">
            <v>Wrap Bag</v>
          </cell>
          <cell r="N355" t="str">
            <v>Regular Air</v>
          </cell>
          <cell r="O355">
            <v>41840</v>
          </cell>
          <cell r="P355">
            <v>0.92</v>
          </cell>
          <cell r="Q355">
            <v>1.81</v>
          </cell>
          <cell r="R355">
            <v>0.89</v>
          </cell>
          <cell r="S355">
            <v>8</v>
          </cell>
          <cell r="T355">
            <v>14.48</v>
          </cell>
          <cell r="V355">
            <v>0.72400000000000009</v>
          </cell>
          <cell r="W355">
            <v>13.756</v>
          </cell>
          <cell r="X355">
            <v>1.56</v>
          </cell>
          <cell r="Y355">
            <v>15.316000000000001</v>
          </cell>
        </row>
        <row r="356">
          <cell r="A356" t="str">
            <v>5558-2</v>
          </cell>
          <cell r="B356">
            <v>41838</v>
          </cell>
          <cell r="C356" t="str">
            <v>2014</v>
          </cell>
          <cell r="D356" t="str">
            <v>Julia Dunbar</v>
          </cell>
          <cell r="E356" t="str">
            <v>3/265 Stirling Street</v>
          </cell>
          <cell r="F356" t="str">
            <v>Perth</v>
          </cell>
          <cell r="G356" t="str">
            <v>WA</v>
          </cell>
          <cell r="H356" t="str">
            <v>Consumer</v>
          </cell>
          <cell r="I356" t="str">
            <v>Phoebe Gour</v>
          </cell>
          <cell r="J356" t="str">
            <v>Low</v>
          </cell>
          <cell r="K356" t="str">
            <v>Steady Colorific Eraseable Coloring Pencils, 12 Count</v>
          </cell>
          <cell r="L356" t="str">
            <v>Office Supplies</v>
          </cell>
          <cell r="M356" t="str">
            <v>Wrap Bag</v>
          </cell>
          <cell r="N356" t="str">
            <v>Regular Air</v>
          </cell>
          <cell r="O356">
            <v>41845</v>
          </cell>
          <cell r="P356">
            <v>1.9</v>
          </cell>
          <cell r="Q356">
            <v>3.28</v>
          </cell>
          <cell r="R356">
            <v>1.38</v>
          </cell>
          <cell r="S356">
            <v>41</v>
          </cell>
          <cell r="T356">
            <v>134.47999999999999</v>
          </cell>
          <cell r="V356">
            <v>6.7240000000000002</v>
          </cell>
          <cell r="W356">
            <v>127.75599999999999</v>
          </cell>
          <cell r="X356">
            <v>1.95</v>
          </cell>
          <cell r="Y356">
            <v>129.70599999999999</v>
          </cell>
        </row>
        <row r="357">
          <cell r="A357" t="str">
            <v>5560-1</v>
          </cell>
          <cell r="B357">
            <v>41842</v>
          </cell>
          <cell r="C357" t="str">
            <v>2014</v>
          </cell>
          <cell r="D357" t="str">
            <v>Gene Hale</v>
          </cell>
          <cell r="E357" t="str">
            <v>1/173-179 Bronte Rd,Waverley</v>
          </cell>
          <cell r="F357" t="str">
            <v>Sydney</v>
          </cell>
          <cell r="G357" t="str">
            <v>NSW</v>
          </cell>
          <cell r="H357" t="str">
            <v>Consumer</v>
          </cell>
          <cell r="I357" t="str">
            <v>Leighton Forrest</v>
          </cell>
          <cell r="J357" t="str">
            <v>Low</v>
          </cell>
          <cell r="K357" t="str">
            <v>Economy Binders</v>
          </cell>
          <cell r="L357" t="str">
            <v>Office Supplies</v>
          </cell>
          <cell r="M357" t="str">
            <v>Small Box</v>
          </cell>
          <cell r="N357" t="str">
            <v>Regular Air</v>
          </cell>
          <cell r="O357">
            <v>41844</v>
          </cell>
          <cell r="P357">
            <v>1.33</v>
          </cell>
          <cell r="Q357">
            <v>2.08</v>
          </cell>
          <cell r="R357">
            <v>0.75</v>
          </cell>
          <cell r="S357">
            <v>20</v>
          </cell>
          <cell r="T357">
            <v>41.6</v>
          </cell>
          <cell r="V357">
            <v>1.6640000000000001</v>
          </cell>
          <cell r="W357">
            <v>39.936</v>
          </cell>
          <cell r="X357">
            <v>1.49</v>
          </cell>
          <cell r="Y357">
            <v>41.426000000000002</v>
          </cell>
        </row>
        <row r="358">
          <cell r="A358" t="str">
            <v>5562-1</v>
          </cell>
          <cell r="B358">
            <v>41844</v>
          </cell>
          <cell r="C358" t="str">
            <v>2014</v>
          </cell>
          <cell r="D358" t="str">
            <v>Sonia Sunley</v>
          </cell>
          <cell r="E358" t="str">
            <v>1/50-58 Hunter St,Sydney</v>
          </cell>
          <cell r="F358" t="str">
            <v>Sydney</v>
          </cell>
          <cell r="G358" t="str">
            <v>NSW</v>
          </cell>
          <cell r="H358" t="str">
            <v>Small Business</v>
          </cell>
          <cell r="I358" t="str">
            <v>Preston Senome</v>
          </cell>
          <cell r="J358" t="str">
            <v>Critical</v>
          </cell>
          <cell r="K358" t="str">
            <v>Smiths Metal Binder Clips</v>
          </cell>
          <cell r="L358" t="str">
            <v>Office Supplies</v>
          </cell>
          <cell r="M358" t="str">
            <v>Wrap Bag</v>
          </cell>
          <cell r="N358" t="str">
            <v>Express Air</v>
          </cell>
          <cell r="O358">
            <v>41846</v>
          </cell>
          <cell r="P358">
            <v>1.6</v>
          </cell>
          <cell r="Q358">
            <v>2.62</v>
          </cell>
          <cell r="R358">
            <v>1.02</v>
          </cell>
          <cell r="S358">
            <v>25</v>
          </cell>
          <cell r="T358">
            <v>65.5</v>
          </cell>
          <cell r="V358">
            <v>5.8949999999999996</v>
          </cell>
          <cell r="W358">
            <v>59.605000000000004</v>
          </cell>
          <cell r="X358">
            <v>0.8</v>
          </cell>
          <cell r="Y358">
            <v>60.405000000000001</v>
          </cell>
        </row>
        <row r="359">
          <cell r="A359" t="str">
            <v>5564-1</v>
          </cell>
          <cell r="B359">
            <v>41845</v>
          </cell>
          <cell r="C359" t="str">
            <v>2014</v>
          </cell>
          <cell r="D359" t="str">
            <v>Philip Brown</v>
          </cell>
          <cell r="E359" t="str">
            <v>499-501 Lygon Street,Carlton North</v>
          </cell>
          <cell r="F359" t="str">
            <v>Melbourne</v>
          </cell>
          <cell r="G359" t="str">
            <v>VIC</v>
          </cell>
          <cell r="H359" t="str">
            <v>Home Office</v>
          </cell>
          <cell r="I359" t="str">
            <v>Yvette Biti</v>
          </cell>
          <cell r="J359" t="str">
            <v>Low</v>
          </cell>
          <cell r="K359" t="str">
            <v>Self-Adhesive Removable Labels</v>
          </cell>
          <cell r="L359" t="str">
            <v>Office Supplies</v>
          </cell>
          <cell r="M359" t="str">
            <v>Small Box</v>
          </cell>
          <cell r="N359" t="str">
            <v>Regular Air</v>
          </cell>
          <cell r="O359">
            <v>41847</v>
          </cell>
          <cell r="P359">
            <v>1.98</v>
          </cell>
          <cell r="Q359">
            <v>3.15</v>
          </cell>
          <cell r="R359">
            <v>1.17</v>
          </cell>
          <cell r="S359">
            <v>46</v>
          </cell>
          <cell r="T359">
            <v>144.9</v>
          </cell>
          <cell r="V359">
            <v>14.490000000000002</v>
          </cell>
          <cell r="W359">
            <v>130.41</v>
          </cell>
          <cell r="X359">
            <v>0.49</v>
          </cell>
          <cell r="Y359">
            <v>130.9</v>
          </cell>
        </row>
        <row r="360">
          <cell r="A360" t="str">
            <v>5566-1</v>
          </cell>
          <cell r="B360">
            <v>41846</v>
          </cell>
          <cell r="C360" t="str">
            <v>2014</v>
          </cell>
          <cell r="D360" t="str">
            <v>Victoria Wilson</v>
          </cell>
          <cell r="E360" t="str">
            <v>1/160 Anzac Parade,Kensington</v>
          </cell>
          <cell r="F360" t="str">
            <v>Sydney</v>
          </cell>
          <cell r="G360" t="str">
            <v>NSW</v>
          </cell>
          <cell r="H360" t="str">
            <v>Home Office</v>
          </cell>
          <cell r="I360" t="str">
            <v>Natasha Song</v>
          </cell>
          <cell r="J360" t="str">
            <v>Low</v>
          </cell>
          <cell r="K360" t="str">
            <v>HFX LaserJet 3310 Copier</v>
          </cell>
          <cell r="L360" t="str">
            <v>Technology</v>
          </cell>
          <cell r="M360" t="str">
            <v>Large Box</v>
          </cell>
          <cell r="N360" t="str">
            <v>Regular Air</v>
          </cell>
          <cell r="O360">
            <v>41855</v>
          </cell>
          <cell r="P360">
            <v>377.99</v>
          </cell>
          <cell r="Q360">
            <v>599.99</v>
          </cell>
          <cell r="R360">
            <v>222</v>
          </cell>
          <cell r="S360">
            <v>25</v>
          </cell>
          <cell r="T360">
            <v>14999.75</v>
          </cell>
          <cell r="V360">
            <v>1049.9825000000001</v>
          </cell>
          <cell r="W360">
            <v>13949.7675</v>
          </cell>
          <cell r="X360">
            <v>24.49</v>
          </cell>
          <cell r="Y360">
            <v>13974.2575</v>
          </cell>
        </row>
        <row r="361">
          <cell r="A361" t="str">
            <v>5566-2</v>
          </cell>
          <cell r="B361">
            <v>41846</v>
          </cell>
          <cell r="C361" t="str">
            <v>2014</v>
          </cell>
          <cell r="D361" t="str">
            <v>Victoria Wilson</v>
          </cell>
          <cell r="E361" t="str">
            <v>1/160 Anzac Parade,Kensington</v>
          </cell>
          <cell r="F361" t="str">
            <v>Sydney</v>
          </cell>
          <cell r="G361" t="str">
            <v>NSW</v>
          </cell>
          <cell r="H361" t="str">
            <v>Home Office</v>
          </cell>
          <cell r="I361" t="str">
            <v>Natasha Song</v>
          </cell>
          <cell r="J361" t="str">
            <v>Low</v>
          </cell>
          <cell r="K361" t="str">
            <v>Smiths Metal Binder Clips</v>
          </cell>
          <cell r="L361" t="str">
            <v>Office Supplies</v>
          </cell>
          <cell r="M361" t="str">
            <v>Wrap Bag</v>
          </cell>
          <cell r="N361" t="str">
            <v>Regular Air</v>
          </cell>
          <cell r="O361">
            <v>41853</v>
          </cell>
          <cell r="P361">
            <v>1.6</v>
          </cell>
          <cell r="Q361">
            <v>2.62</v>
          </cell>
          <cell r="R361">
            <v>1.02</v>
          </cell>
          <cell r="S361">
            <v>10</v>
          </cell>
          <cell r="T361">
            <v>26.200000000000003</v>
          </cell>
          <cell r="V361">
            <v>2.0960000000000001</v>
          </cell>
          <cell r="W361">
            <v>24.104000000000003</v>
          </cell>
          <cell r="X361">
            <v>0.8</v>
          </cell>
          <cell r="Y361">
            <v>24.904000000000003</v>
          </cell>
        </row>
        <row r="362">
          <cell r="A362" t="str">
            <v>5569-1</v>
          </cell>
          <cell r="B362">
            <v>41848</v>
          </cell>
          <cell r="C362" t="str">
            <v>2014</v>
          </cell>
          <cell r="D362" t="str">
            <v>Maria Zettner</v>
          </cell>
          <cell r="E362" t="str">
            <v>531 King St,Newtown</v>
          </cell>
          <cell r="F362" t="str">
            <v>Sydney</v>
          </cell>
          <cell r="G362" t="str">
            <v>NSW</v>
          </cell>
          <cell r="H362" t="str">
            <v>Corporate</v>
          </cell>
          <cell r="I362" t="str">
            <v>Mihael Khan</v>
          </cell>
          <cell r="J362" t="str">
            <v>Medium</v>
          </cell>
          <cell r="K362" t="str">
            <v>1726 Digital Answering Machine</v>
          </cell>
          <cell r="L362" t="str">
            <v>Technology</v>
          </cell>
          <cell r="M362" t="str">
            <v>Medium Box</v>
          </cell>
          <cell r="N362" t="str">
            <v>Regular Air</v>
          </cell>
          <cell r="O362">
            <v>41850</v>
          </cell>
          <cell r="P362">
            <v>8.82</v>
          </cell>
          <cell r="Q362">
            <v>20.99</v>
          </cell>
          <cell r="R362">
            <v>12.169999999999998</v>
          </cell>
          <cell r="S362">
            <v>9</v>
          </cell>
          <cell r="T362">
            <v>188.91</v>
          </cell>
          <cell r="V362">
            <v>15.1128</v>
          </cell>
          <cell r="W362">
            <v>173.7972</v>
          </cell>
          <cell r="X362">
            <v>4.8099999999999996</v>
          </cell>
          <cell r="Y362">
            <v>178.60720000000001</v>
          </cell>
        </row>
        <row r="363">
          <cell r="A363" t="str">
            <v>5570-1</v>
          </cell>
          <cell r="B363">
            <v>41850</v>
          </cell>
          <cell r="C363" t="str">
            <v>2014</v>
          </cell>
          <cell r="D363" t="str">
            <v>Keith Herrera</v>
          </cell>
          <cell r="E363" t="str">
            <v>120 Hardware St,Melbourne</v>
          </cell>
          <cell r="F363" t="str">
            <v>Melbourne</v>
          </cell>
          <cell r="G363" t="str">
            <v>VIC</v>
          </cell>
          <cell r="H363" t="str">
            <v>Small Business</v>
          </cell>
          <cell r="I363" t="str">
            <v>Yvette Biti</v>
          </cell>
          <cell r="J363" t="str">
            <v>High</v>
          </cell>
          <cell r="K363" t="str">
            <v>Artisan File Folder Labels</v>
          </cell>
          <cell r="L363" t="str">
            <v>Office Supplies</v>
          </cell>
          <cell r="M363" t="str">
            <v>Small Box</v>
          </cell>
          <cell r="N363" t="str">
            <v>Regular Air</v>
          </cell>
          <cell r="O363">
            <v>41851</v>
          </cell>
          <cell r="P363">
            <v>1.84</v>
          </cell>
          <cell r="Q363">
            <v>2.88</v>
          </cell>
          <cell r="R363">
            <v>1.0399999999999998</v>
          </cell>
          <cell r="S363">
            <v>11</v>
          </cell>
          <cell r="T363">
            <v>31.68</v>
          </cell>
          <cell r="V363">
            <v>0.63360000000000005</v>
          </cell>
          <cell r="W363">
            <v>31.046399999999998</v>
          </cell>
          <cell r="X363">
            <v>5.33</v>
          </cell>
          <cell r="Y363">
            <v>36.376399999999997</v>
          </cell>
        </row>
        <row r="364">
          <cell r="A364" t="str">
            <v>5572-1</v>
          </cell>
          <cell r="B364">
            <v>41850</v>
          </cell>
          <cell r="C364" t="str">
            <v>2014</v>
          </cell>
          <cell r="D364" t="str">
            <v>Mark Packer</v>
          </cell>
          <cell r="E364" t="str">
            <v>Sydney Fish Market, Bank Street, Sydney</v>
          </cell>
          <cell r="F364" t="str">
            <v>Sydney</v>
          </cell>
          <cell r="G364" t="str">
            <v>NSW</v>
          </cell>
          <cell r="H364" t="str">
            <v>Small Business</v>
          </cell>
          <cell r="I364" t="str">
            <v>Phoebe Gour</v>
          </cell>
          <cell r="J364" t="str">
            <v>High</v>
          </cell>
          <cell r="K364" t="str">
            <v>Artisan Flip-Chart Easel Binder, Black</v>
          </cell>
          <cell r="L364" t="str">
            <v>Office Supplies</v>
          </cell>
          <cell r="M364" t="str">
            <v>Small Box</v>
          </cell>
          <cell r="N364" t="str">
            <v>Regular Air</v>
          </cell>
          <cell r="O364">
            <v>41852</v>
          </cell>
          <cell r="P364">
            <v>13.88</v>
          </cell>
          <cell r="Q364">
            <v>22.38</v>
          </cell>
          <cell r="R364">
            <v>8.4999999999999982</v>
          </cell>
          <cell r="S364">
            <v>34</v>
          </cell>
          <cell r="T364">
            <v>760.92</v>
          </cell>
          <cell r="V364">
            <v>7.6091999999999995</v>
          </cell>
          <cell r="W364">
            <v>753.31079999999997</v>
          </cell>
          <cell r="X364">
            <v>15.1</v>
          </cell>
          <cell r="Y364">
            <v>768.41079999999999</v>
          </cell>
        </row>
        <row r="365">
          <cell r="A365" t="str">
            <v>5574-1</v>
          </cell>
          <cell r="B365">
            <v>41850</v>
          </cell>
          <cell r="C365" t="str">
            <v>2014</v>
          </cell>
          <cell r="D365" t="str">
            <v>Denny Joy</v>
          </cell>
          <cell r="E365" t="str">
            <v>99 Lygon Street,East Brunswick</v>
          </cell>
          <cell r="F365" t="str">
            <v>Melbourne</v>
          </cell>
          <cell r="G365" t="str">
            <v>VIC</v>
          </cell>
          <cell r="H365" t="str">
            <v>Corporate</v>
          </cell>
          <cell r="I365" t="str">
            <v>Connor Betts</v>
          </cell>
          <cell r="J365" t="str">
            <v>Medium</v>
          </cell>
          <cell r="K365" t="str">
            <v>Security-Tint Envelopes</v>
          </cell>
          <cell r="L365" t="str">
            <v>Office Supplies</v>
          </cell>
          <cell r="M365" t="str">
            <v>Small Box</v>
          </cell>
          <cell r="N365" t="str">
            <v>Regular Air</v>
          </cell>
          <cell r="O365">
            <v>41852</v>
          </cell>
          <cell r="P365">
            <v>4.8899999999999997</v>
          </cell>
          <cell r="Q365">
            <v>7.64</v>
          </cell>
          <cell r="R365">
            <v>2.75</v>
          </cell>
          <cell r="S365">
            <v>7</v>
          </cell>
          <cell r="T365">
            <v>53.48</v>
          </cell>
          <cell r="V365">
            <v>3.2087999999999997</v>
          </cell>
          <cell r="W365">
            <v>50.2712</v>
          </cell>
          <cell r="X365">
            <v>1.39</v>
          </cell>
          <cell r="Y365">
            <v>51.661200000000001</v>
          </cell>
        </row>
        <row r="366">
          <cell r="A366" t="str">
            <v>5576-1</v>
          </cell>
          <cell r="B366">
            <v>41854</v>
          </cell>
          <cell r="C366" t="str">
            <v>2014</v>
          </cell>
          <cell r="D366" t="str">
            <v>Shirley Jackson</v>
          </cell>
          <cell r="E366" t="str">
            <v>Westfield Miranda, 600 Kingsway,Miranda</v>
          </cell>
          <cell r="F366" t="str">
            <v>Sydney</v>
          </cell>
          <cell r="G366" t="str">
            <v>NSW</v>
          </cell>
          <cell r="H366" t="str">
            <v>Corporate</v>
          </cell>
          <cell r="I366" t="str">
            <v>Preston Senome</v>
          </cell>
          <cell r="J366" t="str">
            <v>Medium</v>
          </cell>
          <cell r="K366" t="str">
            <v>Binder Posts</v>
          </cell>
          <cell r="L366" t="str">
            <v>Office Supplies</v>
          </cell>
          <cell r="M366" t="str">
            <v>Small Box</v>
          </cell>
          <cell r="N366" t="str">
            <v>Regular Air</v>
          </cell>
          <cell r="O366">
            <v>41855</v>
          </cell>
          <cell r="P366">
            <v>3.5</v>
          </cell>
          <cell r="Q366">
            <v>5.74</v>
          </cell>
          <cell r="R366">
            <v>2.2400000000000002</v>
          </cell>
          <cell r="S366">
            <v>7</v>
          </cell>
          <cell r="T366">
            <v>40.18</v>
          </cell>
          <cell r="V366">
            <v>1.6072</v>
          </cell>
          <cell r="W366">
            <v>38.572800000000001</v>
          </cell>
          <cell r="X366">
            <v>5.01</v>
          </cell>
          <cell r="Y366">
            <v>43.582799999999999</v>
          </cell>
        </row>
        <row r="367">
          <cell r="A367" t="str">
            <v>5578-1</v>
          </cell>
          <cell r="B367">
            <v>41856</v>
          </cell>
          <cell r="C367" t="str">
            <v>2014</v>
          </cell>
          <cell r="D367" t="str">
            <v>Ed Ludwig</v>
          </cell>
          <cell r="E367" t="str">
            <v>221 Barkly St,St Kilda</v>
          </cell>
          <cell r="F367" t="str">
            <v>Melbourne</v>
          </cell>
          <cell r="G367" t="str">
            <v>VIC</v>
          </cell>
          <cell r="H367" t="str">
            <v>Consumer</v>
          </cell>
          <cell r="I367" t="str">
            <v>Yvette Biti</v>
          </cell>
          <cell r="J367" t="str">
            <v>High</v>
          </cell>
          <cell r="K367" t="str">
            <v>12 Colored Short Pencils</v>
          </cell>
          <cell r="L367" t="str">
            <v>Office Supplies</v>
          </cell>
          <cell r="M367" t="str">
            <v>Wrap Bag</v>
          </cell>
          <cell r="N367" t="str">
            <v>Regular Air</v>
          </cell>
          <cell r="O367">
            <v>41858</v>
          </cell>
          <cell r="P367">
            <v>1.0900000000000001</v>
          </cell>
          <cell r="Q367">
            <v>2.6</v>
          </cell>
          <cell r="R367">
            <v>1.51</v>
          </cell>
          <cell r="S367">
            <v>43</v>
          </cell>
          <cell r="T367">
            <v>111.8</v>
          </cell>
          <cell r="V367">
            <v>6.7079999999999993</v>
          </cell>
          <cell r="W367">
            <v>105.092</v>
          </cell>
          <cell r="X367">
            <v>2.4</v>
          </cell>
          <cell r="Y367">
            <v>107.492</v>
          </cell>
        </row>
        <row r="368">
          <cell r="A368" t="str">
            <v>5579-1</v>
          </cell>
          <cell r="B368">
            <v>41857</v>
          </cell>
          <cell r="C368" t="str">
            <v>2014</v>
          </cell>
          <cell r="D368" t="str">
            <v>Carol Adams</v>
          </cell>
          <cell r="E368" t="str">
            <v>181 Enmore Rd,Enmore</v>
          </cell>
          <cell r="F368" t="str">
            <v>Sydney</v>
          </cell>
          <cell r="G368" t="str">
            <v>NSW</v>
          </cell>
          <cell r="H368" t="str">
            <v>Corporate</v>
          </cell>
          <cell r="I368" t="str">
            <v>Radhya Staples</v>
          </cell>
          <cell r="J368" t="str">
            <v>Low</v>
          </cell>
          <cell r="K368" t="str">
            <v>Artisan Hanging File Binders</v>
          </cell>
          <cell r="L368" t="str">
            <v>Office Supplies</v>
          </cell>
          <cell r="M368" t="str">
            <v>Small Box</v>
          </cell>
          <cell r="N368" t="str">
            <v>Regular Air</v>
          </cell>
          <cell r="O368">
            <v>41857</v>
          </cell>
          <cell r="P368">
            <v>3.65</v>
          </cell>
          <cell r="Q368">
            <v>5.98</v>
          </cell>
          <cell r="R368">
            <v>2.3300000000000005</v>
          </cell>
          <cell r="S368">
            <v>32</v>
          </cell>
          <cell r="T368">
            <v>191.36</v>
          </cell>
          <cell r="V368">
            <v>19.136000000000003</v>
          </cell>
          <cell r="W368">
            <v>172.22400000000002</v>
          </cell>
          <cell r="X368">
            <v>1.49</v>
          </cell>
          <cell r="Y368">
            <v>173.71400000000003</v>
          </cell>
        </row>
        <row r="369">
          <cell r="A369" t="str">
            <v>5581-1</v>
          </cell>
          <cell r="B369">
            <v>41858</v>
          </cell>
          <cell r="C369" t="str">
            <v>2014</v>
          </cell>
          <cell r="D369" t="str">
            <v>John Lucas</v>
          </cell>
          <cell r="E369" t="str">
            <v>188 Pitt Street,Sydney</v>
          </cell>
          <cell r="F369" t="str">
            <v>Sydney</v>
          </cell>
          <cell r="G369" t="str">
            <v>NSW</v>
          </cell>
          <cell r="H369" t="str">
            <v>Small Business</v>
          </cell>
          <cell r="I369" t="str">
            <v>Tina Carlton</v>
          </cell>
          <cell r="J369" t="str">
            <v>Critical</v>
          </cell>
          <cell r="K369" t="str">
            <v>Alto Memo Cubes</v>
          </cell>
          <cell r="L369" t="str">
            <v>Office Supplies</v>
          </cell>
          <cell r="M369" t="str">
            <v>Wrap Bag</v>
          </cell>
          <cell r="N369" t="str">
            <v>Regular Air</v>
          </cell>
          <cell r="O369">
            <v>41860</v>
          </cell>
          <cell r="P369">
            <v>3.32</v>
          </cell>
          <cell r="Q369">
            <v>5.18</v>
          </cell>
          <cell r="R369">
            <v>1.8599999999999999</v>
          </cell>
          <cell r="S369">
            <v>17</v>
          </cell>
          <cell r="T369">
            <v>88.06</v>
          </cell>
          <cell r="V369">
            <v>1.7612000000000001</v>
          </cell>
          <cell r="W369">
            <v>86.2988</v>
          </cell>
          <cell r="X369">
            <v>2.04</v>
          </cell>
          <cell r="Y369">
            <v>88.338800000000006</v>
          </cell>
        </row>
        <row r="370">
          <cell r="A370" t="str">
            <v>5583-1</v>
          </cell>
          <cell r="B370">
            <v>41862</v>
          </cell>
          <cell r="C370" t="str">
            <v>2014</v>
          </cell>
          <cell r="D370" t="str">
            <v>Benjamin Patterson</v>
          </cell>
          <cell r="E370" t="str">
            <v>6 Brookman Street, Perth</v>
          </cell>
          <cell r="F370" t="str">
            <v>Sydney</v>
          </cell>
          <cell r="G370" t="str">
            <v>NSW</v>
          </cell>
          <cell r="H370" t="str">
            <v>Corporate</v>
          </cell>
          <cell r="I370" t="str">
            <v>Aanya Zhang</v>
          </cell>
          <cell r="J370" t="str">
            <v>Critical</v>
          </cell>
          <cell r="K370" t="str">
            <v>Bagged Rubber Bands</v>
          </cell>
          <cell r="L370" t="str">
            <v>Office Supplies</v>
          </cell>
          <cell r="M370" t="str">
            <v>Wrap Bag</v>
          </cell>
          <cell r="N370" t="str">
            <v>Regular Air</v>
          </cell>
          <cell r="O370">
            <v>41863</v>
          </cell>
          <cell r="P370">
            <v>0.24</v>
          </cell>
          <cell r="Q370">
            <v>1.26</v>
          </cell>
          <cell r="R370">
            <v>1.02</v>
          </cell>
          <cell r="S370">
            <v>2</v>
          </cell>
          <cell r="T370">
            <v>2.52</v>
          </cell>
          <cell r="V370">
            <v>0.1512</v>
          </cell>
          <cell r="W370">
            <v>2.3688000000000002</v>
          </cell>
          <cell r="X370">
            <v>0.7</v>
          </cell>
          <cell r="Y370">
            <v>3.0688000000000004</v>
          </cell>
        </row>
        <row r="371">
          <cell r="A371" t="str">
            <v>5584-1</v>
          </cell>
          <cell r="B371">
            <v>41862</v>
          </cell>
          <cell r="C371" t="str">
            <v>2014</v>
          </cell>
          <cell r="D371" t="str">
            <v>Sara Luxemburg</v>
          </cell>
          <cell r="E371" t="str">
            <v>180 High Street,Windsor</v>
          </cell>
          <cell r="F371" t="str">
            <v>Melbourne</v>
          </cell>
          <cell r="G371" t="str">
            <v>VIC</v>
          </cell>
          <cell r="H371" t="str">
            <v>Small Business</v>
          </cell>
          <cell r="I371" t="str">
            <v>Connor Betts</v>
          </cell>
          <cell r="J371" t="str">
            <v>Critical</v>
          </cell>
          <cell r="K371" t="str">
            <v>DrawIt Colored Pencils, 48-Color Set</v>
          </cell>
          <cell r="L371" t="str">
            <v>Office Supplies</v>
          </cell>
          <cell r="M371" t="str">
            <v>Wrap Bag</v>
          </cell>
          <cell r="N371" t="str">
            <v>Regular Air</v>
          </cell>
          <cell r="O371">
            <v>41865</v>
          </cell>
          <cell r="P371">
            <v>21.56</v>
          </cell>
          <cell r="Q371">
            <v>36.549999999999997</v>
          </cell>
          <cell r="R371">
            <v>14.989999999999998</v>
          </cell>
          <cell r="S371">
            <v>24</v>
          </cell>
          <cell r="T371">
            <v>877.19999999999993</v>
          </cell>
          <cell r="V371">
            <v>61.404000000000003</v>
          </cell>
          <cell r="W371">
            <v>815.79599999999994</v>
          </cell>
          <cell r="X371">
            <v>13.89</v>
          </cell>
          <cell r="Y371">
            <v>829.68599999999992</v>
          </cell>
        </row>
        <row r="372">
          <cell r="A372" t="str">
            <v>5586-1</v>
          </cell>
          <cell r="B372">
            <v>41862</v>
          </cell>
          <cell r="C372" t="str">
            <v>2014</v>
          </cell>
          <cell r="D372" t="str">
            <v>Adrian Hane</v>
          </cell>
          <cell r="E372" t="str">
            <v>180 High Street,Windsor</v>
          </cell>
          <cell r="F372" t="str">
            <v>Melbourne</v>
          </cell>
          <cell r="G372" t="str">
            <v>VIC</v>
          </cell>
          <cell r="H372" t="str">
            <v>Corporate</v>
          </cell>
          <cell r="I372" t="str">
            <v>Connor Betts</v>
          </cell>
          <cell r="J372" t="str">
            <v>Medium</v>
          </cell>
          <cell r="K372" t="str">
            <v>Steady Major Accent Highlighters</v>
          </cell>
          <cell r="L372" t="str">
            <v>Office Supplies</v>
          </cell>
          <cell r="M372" t="str">
            <v>Wrap Bag</v>
          </cell>
          <cell r="N372" t="str">
            <v>Regular Air</v>
          </cell>
          <cell r="O372">
            <v>41864</v>
          </cell>
          <cell r="P372">
            <v>3.75</v>
          </cell>
          <cell r="Q372">
            <v>7.08</v>
          </cell>
          <cell r="R372">
            <v>3.33</v>
          </cell>
          <cell r="S372">
            <v>47</v>
          </cell>
          <cell r="T372">
            <v>332.76</v>
          </cell>
          <cell r="V372">
            <v>33.276000000000003</v>
          </cell>
          <cell r="W372">
            <v>299.48399999999998</v>
          </cell>
          <cell r="X372">
            <v>2.35</v>
          </cell>
          <cell r="Y372">
            <v>301.834</v>
          </cell>
        </row>
        <row r="373">
          <cell r="A373" t="str">
            <v>5588-1</v>
          </cell>
          <cell r="B373">
            <v>41862</v>
          </cell>
          <cell r="C373" t="str">
            <v>2014</v>
          </cell>
          <cell r="D373" t="str">
            <v>Tonja Turnell</v>
          </cell>
          <cell r="E373" t="str">
            <v>221 Barkly St,St Kilda</v>
          </cell>
          <cell r="F373" t="str">
            <v>Melbourne</v>
          </cell>
          <cell r="G373" t="str">
            <v>VIC</v>
          </cell>
          <cell r="H373" t="str">
            <v>Consumer</v>
          </cell>
          <cell r="I373" t="str">
            <v>Yvette Biti</v>
          </cell>
          <cell r="J373" t="str">
            <v>High</v>
          </cell>
          <cell r="K373" t="str">
            <v>Wirebound Voice Message Log Book</v>
          </cell>
          <cell r="L373" t="str">
            <v>Office Supplies</v>
          </cell>
          <cell r="M373" t="str">
            <v>Wrap Bag</v>
          </cell>
          <cell r="N373" t="str">
            <v>Express Air</v>
          </cell>
          <cell r="O373">
            <v>41864</v>
          </cell>
          <cell r="P373">
            <v>2.9</v>
          </cell>
          <cell r="Q373">
            <v>4.76</v>
          </cell>
          <cell r="R373">
            <v>1.8599999999999999</v>
          </cell>
          <cell r="S373">
            <v>11</v>
          </cell>
          <cell r="T373">
            <v>52.36</v>
          </cell>
          <cell r="V373">
            <v>4.1887999999999996</v>
          </cell>
          <cell r="W373">
            <v>48.171199999999999</v>
          </cell>
          <cell r="X373">
            <v>0.88</v>
          </cell>
          <cell r="Y373">
            <v>49.051200000000001</v>
          </cell>
        </row>
        <row r="374">
          <cell r="A374" t="str">
            <v>5589-1</v>
          </cell>
          <cell r="B374">
            <v>41863</v>
          </cell>
          <cell r="C374" t="str">
            <v>2014</v>
          </cell>
          <cell r="D374" t="str">
            <v>Brad Thomas</v>
          </cell>
          <cell r="E374" t="str">
            <v>152 Bunnerong Road,Eastgardens</v>
          </cell>
          <cell r="F374" t="str">
            <v>Sydney</v>
          </cell>
          <cell r="G374" t="str">
            <v>NSW</v>
          </cell>
          <cell r="H374" t="str">
            <v>Home Office</v>
          </cell>
          <cell r="I374" t="str">
            <v>Tina Carlton</v>
          </cell>
          <cell r="J374" t="str">
            <v>Low</v>
          </cell>
          <cell r="K374" t="str">
            <v>Beekin 105-Key Black Keyboard</v>
          </cell>
          <cell r="L374" t="str">
            <v>Technology</v>
          </cell>
          <cell r="M374" t="str">
            <v>Small Box</v>
          </cell>
          <cell r="N374" t="str">
            <v>Regular Air</v>
          </cell>
          <cell r="O374">
            <v>41870</v>
          </cell>
          <cell r="P374">
            <v>6.39</v>
          </cell>
          <cell r="Q374">
            <v>19.98</v>
          </cell>
          <cell r="R374">
            <v>13.59</v>
          </cell>
          <cell r="S374">
            <v>5</v>
          </cell>
          <cell r="T374">
            <v>99.9</v>
          </cell>
          <cell r="V374">
            <v>8.9909999999999997</v>
          </cell>
          <cell r="W374">
            <v>90.909000000000006</v>
          </cell>
          <cell r="X374">
            <v>4</v>
          </cell>
          <cell r="Y374">
            <v>94.909000000000006</v>
          </cell>
        </row>
        <row r="375">
          <cell r="A375" t="str">
            <v>5591-1</v>
          </cell>
          <cell r="B375">
            <v>41873</v>
          </cell>
          <cell r="C375" t="str">
            <v>2014</v>
          </cell>
          <cell r="D375" t="str">
            <v>Dorris Love</v>
          </cell>
          <cell r="E375" t="str">
            <v>359 Crown Street,Surry Hills</v>
          </cell>
          <cell r="F375" t="str">
            <v>Sydney</v>
          </cell>
          <cell r="G375" t="str">
            <v>NSW</v>
          </cell>
          <cell r="H375" t="str">
            <v>Home Office</v>
          </cell>
          <cell r="I375" t="str">
            <v>Phoebe Gour</v>
          </cell>
          <cell r="J375" t="str">
            <v>Not Specified</v>
          </cell>
          <cell r="K375" t="str">
            <v>Smiths File Caddy</v>
          </cell>
          <cell r="L375" t="str">
            <v>Office Supplies</v>
          </cell>
          <cell r="M375" t="str">
            <v>Small Box</v>
          </cell>
          <cell r="N375" t="str">
            <v>Regular Air</v>
          </cell>
          <cell r="O375">
            <v>41874</v>
          </cell>
          <cell r="P375">
            <v>4.03</v>
          </cell>
          <cell r="Q375">
            <v>9.3800000000000008</v>
          </cell>
          <cell r="R375">
            <v>5.3500000000000005</v>
          </cell>
          <cell r="S375">
            <v>17</v>
          </cell>
          <cell r="T375">
            <v>159.46</v>
          </cell>
          <cell r="V375">
            <v>14.3514</v>
          </cell>
          <cell r="W375">
            <v>145.1086</v>
          </cell>
          <cell r="X375">
            <v>7.28</v>
          </cell>
          <cell r="Y375">
            <v>152.3886</v>
          </cell>
        </row>
        <row r="376">
          <cell r="A376" t="str">
            <v>5593-1</v>
          </cell>
          <cell r="B376">
            <v>41876</v>
          </cell>
          <cell r="C376" t="str">
            <v>2014</v>
          </cell>
          <cell r="D376" t="str">
            <v>John Lee</v>
          </cell>
          <cell r="E376" t="str">
            <v>180 High Street,Windsor</v>
          </cell>
          <cell r="F376" t="str">
            <v>Melbourne</v>
          </cell>
          <cell r="G376" t="str">
            <v>VIC</v>
          </cell>
          <cell r="H376" t="str">
            <v>Corporate</v>
          </cell>
          <cell r="I376" t="str">
            <v>Connor Betts</v>
          </cell>
          <cell r="J376" t="str">
            <v>High</v>
          </cell>
          <cell r="K376" t="str">
            <v>Aluminum Document Frame</v>
          </cell>
          <cell r="L376" t="str">
            <v>Furniture</v>
          </cell>
          <cell r="M376" t="str">
            <v>Small Pack</v>
          </cell>
          <cell r="N376" t="str">
            <v>Regular Air</v>
          </cell>
          <cell r="O376">
            <v>41878</v>
          </cell>
          <cell r="P376">
            <v>5.5</v>
          </cell>
          <cell r="Q376">
            <v>12.22</v>
          </cell>
          <cell r="R376">
            <v>6.7200000000000006</v>
          </cell>
          <cell r="S376">
            <v>37</v>
          </cell>
          <cell r="T376">
            <v>452.14000000000004</v>
          </cell>
          <cell r="V376">
            <v>40.692600000000006</v>
          </cell>
          <cell r="W376">
            <v>411.44740000000002</v>
          </cell>
          <cell r="X376">
            <v>2.85</v>
          </cell>
          <cell r="Y376">
            <v>414.29740000000004</v>
          </cell>
        </row>
        <row r="377">
          <cell r="A377" t="str">
            <v>5594-1</v>
          </cell>
          <cell r="B377">
            <v>41876</v>
          </cell>
          <cell r="C377" t="str">
            <v>2014</v>
          </cell>
          <cell r="D377" t="str">
            <v>Jill Fjeld</v>
          </cell>
          <cell r="E377" t="str">
            <v>53 Riley Street,Woolloomooloo</v>
          </cell>
          <cell r="F377" t="str">
            <v>Sydney</v>
          </cell>
          <cell r="G377" t="str">
            <v>NSW</v>
          </cell>
          <cell r="H377" t="str">
            <v>Home Office</v>
          </cell>
          <cell r="I377" t="str">
            <v>Tina Carlton</v>
          </cell>
          <cell r="J377" t="str">
            <v>High</v>
          </cell>
          <cell r="K377" t="str">
            <v>PastelOcean Color Pencil Set</v>
          </cell>
          <cell r="L377" t="str">
            <v>Office Supplies</v>
          </cell>
          <cell r="M377" t="str">
            <v>Wrap Bag</v>
          </cell>
          <cell r="N377" t="str">
            <v>Regular Air</v>
          </cell>
          <cell r="O377">
            <v>41878</v>
          </cell>
          <cell r="P377">
            <v>11.11</v>
          </cell>
          <cell r="Q377">
            <v>19.84</v>
          </cell>
          <cell r="R377">
            <v>8.73</v>
          </cell>
          <cell r="S377">
            <v>28</v>
          </cell>
          <cell r="T377">
            <v>555.52</v>
          </cell>
          <cell r="V377">
            <v>33.331199999999995</v>
          </cell>
          <cell r="W377">
            <v>522.18880000000001</v>
          </cell>
          <cell r="X377">
            <v>4.0999999999999996</v>
          </cell>
          <cell r="Y377">
            <v>526.28880000000004</v>
          </cell>
        </row>
        <row r="378">
          <cell r="A378" t="str">
            <v>5596-1</v>
          </cell>
          <cell r="B378">
            <v>41877</v>
          </cell>
          <cell r="C378" t="str">
            <v>2014</v>
          </cell>
          <cell r="D378" t="str">
            <v>Valerie Dominguez</v>
          </cell>
          <cell r="E378" t="str">
            <v>37/59 Brewer Street</v>
          </cell>
          <cell r="F378" t="str">
            <v>Perth</v>
          </cell>
          <cell r="G378" t="str">
            <v>WA</v>
          </cell>
          <cell r="H378" t="str">
            <v>Corporate</v>
          </cell>
          <cell r="I378" t="str">
            <v>Tina Carlton</v>
          </cell>
          <cell r="J378" t="str">
            <v>Medium</v>
          </cell>
          <cell r="K378" t="str">
            <v>TechSavi Access Keyboard</v>
          </cell>
          <cell r="L378" t="str">
            <v>Technology</v>
          </cell>
          <cell r="M378" t="str">
            <v>Small Box</v>
          </cell>
          <cell r="N378" t="str">
            <v>Regular Air</v>
          </cell>
          <cell r="O378">
            <v>41877</v>
          </cell>
          <cell r="P378">
            <v>10.07</v>
          </cell>
          <cell r="Q378">
            <v>15.98</v>
          </cell>
          <cell r="R378">
            <v>5.91</v>
          </cell>
          <cell r="S378">
            <v>46</v>
          </cell>
          <cell r="T378">
            <v>735.08</v>
          </cell>
          <cell r="V378">
            <v>14.701600000000001</v>
          </cell>
          <cell r="W378">
            <v>720.37840000000006</v>
          </cell>
          <cell r="X378">
            <v>4</v>
          </cell>
          <cell r="Y378">
            <v>724.37840000000006</v>
          </cell>
        </row>
        <row r="379">
          <cell r="A379" t="str">
            <v>5597-1</v>
          </cell>
          <cell r="B379">
            <v>41878</v>
          </cell>
          <cell r="C379" t="str">
            <v>2014</v>
          </cell>
          <cell r="D379" t="str">
            <v>Maribeth Yedwab</v>
          </cell>
          <cell r="E379" t="str">
            <v>240-242 Johnston Street,Fitzroy</v>
          </cell>
          <cell r="F379" t="str">
            <v>Melbourne</v>
          </cell>
          <cell r="G379" t="str">
            <v>VIC</v>
          </cell>
          <cell r="H379" t="str">
            <v>Home Office</v>
          </cell>
          <cell r="I379" t="str">
            <v>Connor Betts</v>
          </cell>
          <cell r="J379" t="str">
            <v>Not Specified</v>
          </cell>
          <cell r="K379" t="str">
            <v>Smiths Metal Binder Clips</v>
          </cell>
          <cell r="L379" t="str">
            <v>Office Supplies</v>
          </cell>
          <cell r="M379" t="str">
            <v>Wrap Bag</v>
          </cell>
          <cell r="N379" t="str">
            <v>Express Air</v>
          </cell>
          <cell r="O379">
            <v>41879</v>
          </cell>
          <cell r="P379">
            <v>1.6</v>
          </cell>
          <cell r="Q379">
            <v>2.62</v>
          </cell>
          <cell r="R379">
            <v>1.02</v>
          </cell>
          <cell r="S379">
            <v>45</v>
          </cell>
          <cell r="T379">
            <v>117.9</v>
          </cell>
          <cell r="V379">
            <v>1.179</v>
          </cell>
          <cell r="W379">
            <v>116.721</v>
          </cell>
          <cell r="X379">
            <v>0.8</v>
          </cell>
          <cell r="Y379">
            <v>117.521</v>
          </cell>
        </row>
        <row r="380">
          <cell r="A380" t="str">
            <v>5599-1</v>
          </cell>
          <cell r="B380">
            <v>41879</v>
          </cell>
          <cell r="C380" t="str">
            <v>2014</v>
          </cell>
          <cell r="D380" t="str">
            <v>Ruben Ausman</v>
          </cell>
          <cell r="E380" t="str">
            <v>Crown Complex,Southbank</v>
          </cell>
          <cell r="F380" t="str">
            <v>Melbourne</v>
          </cell>
          <cell r="G380" t="str">
            <v>VIC</v>
          </cell>
          <cell r="H380" t="str">
            <v>Corporate</v>
          </cell>
          <cell r="I380" t="str">
            <v>Yvette Biti</v>
          </cell>
          <cell r="J380" t="str">
            <v>High</v>
          </cell>
          <cell r="K380" t="str">
            <v>Cando PC940 Copier</v>
          </cell>
          <cell r="L380" t="str">
            <v>Technology</v>
          </cell>
          <cell r="M380" t="str">
            <v>Jumbo Drum</v>
          </cell>
          <cell r="N380" t="str">
            <v>Delivery Truck</v>
          </cell>
          <cell r="O380">
            <v>41879</v>
          </cell>
          <cell r="P380">
            <v>278.99</v>
          </cell>
          <cell r="Q380">
            <v>449.99</v>
          </cell>
          <cell r="R380">
            <v>171</v>
          </cell>
          <cell r="S380">
            <v>15</v>
          </cell>
          <cell r="T380">
            <v>6749.85</v>
          </cell>
          <cell r="V380">
            <v>269.99400000000003</v>
          </cell>
          <cell r="W380">
            <v>6479.8560000000007</v>
          </cell>
          <cell r="X380">
            <v>49</v>
          </cell>
          <cell r="Y380">
            <v>6528.8560000000007</v>
          </cell>
        </row>
        <row r="381">
          <cell r="A381" t="str">
            <v>5599-2</v>
          </cell>
          <cell r="B381">
            <v>41879</v>
          </cell>
          <cell r="C381" t="str">
            <v>2014</v>
          </cell>
          <cell r="D381" t="str">
            <v>Ruben Ausman</v>
          </cell>
          <cell r="E381" t="str">
            <v>Crown Complex,Southbank</v>
          </cell>
          <cell r="F381" t="str">
            <v>Melbourne</v>
          </cell>
          <cell r="G381" t="str">
            <v>VIC</v>
          </cell>
          <cell r="H381" t="str">
            <v>Corporate</v>
          </cell>
          <cell r="I381" t="str">
            <v>Yvette Biti</v>
          </cell>
          <cell r="J381" t="str">
            <v>High</v>
          </cell>
          <cell r="K381" t="str">
            <v>EcoTones Memo Sheets</v>
          </cell>
          <cell r="L381" t="str">
            <v>Office Supplies</v>
          </cell>
          <cell r="M381" t="str">
            <v>Wrap Bag</v>
          </cell>
          <cell r="N381" t="str">
            <v>Regular Air</v>
          </cell>
          <cell r="O381">
            <v>41880</v>
          </cell>
          <cell r="P381">
            <v>2.52</v>
          </cell>
          <cell r="Q381">
            <v>4</v>
          </cell>
          <cell r="R381">
            <v>1.48</v>
          </cell>
          <cell r="S381">
            <v>14</v>
          </cell>
          <cell r="T381">
            <v>56</v>
          </cell>
          <cell r="V381">
            <v>3.36</v>
          </cell>
          <cell r="W381">
            <v>52.64</v>
          </cell>
          <cell r="X381">
            <v>1.3</v>
          </cell>
          <cell r="Y381">
            <v>53.94</v>
          </cell>
        </row>
        <row r="382">
          <cell r="A382" t="str">
            <v>5603-1</v>
          </cell>
          <cell r="B382">
            <v>41879</v>
          </cell>
          <cell r="C382" t="str">
            <v>2014</v>
          </cell>
          <cell r="D382" t="str">
            <v>Jim Kriz</v>
          </cell>
          <cell r="E382" t="str">
            <v>85-113 Dunning Ave,Roseberry</v>
          </cell>
          <cell r="F382" t="str">
            <v>Sydney</v>
          </cell>
          <cell r="G382" t="str">
            <v>NSW</v>
          </cell>
          <cell r="H382" t="str">
            <v>Consumer</v>
          </cell>
          <cell r="I382" t="str">
            <v>Mihael Khan</v>
          </cell>
          <cell r="J382" t="str">
            <v>Low</v>
          </cell>
          <cell r="K382" t="str">
            <v>TechSavi Internet Navigator Keyboard</v>
          </cell>
          <cell r="L382" t="str">
            <v>Technology</v>
          </cell>
          <cell r="M382" t="str">
            <v>Small Box</v>
          </cell>
          <cell r="N382" t="str">
            <v>Regular Air</v>
          </cell>
          <cell r="O382">
            <v>41883</v>
          </cell>
          <cell r="P382">
            <v>6.51</v>
          </cell>
          <cell r="Q382">
            <v>30.98</v>
          </cell>
          <cell r="R382">
            <v>24.47</v>
          </cell>
          <cell r="S382">
            <v>37</v>
          </cell>
          <cell r="T382">
            <v>1146.26</v>
          </cell>
          <cell r="V382">
            <v>34.387799999999999</v>
          </cell>
          <cell r="W382">
            <v>1111.8722</v>
          </cell>
          <cell r="X382">
            <v>6.5</v>
          </cell>
          <cell r="Y382">
            <v>1118.3722</v>
          </cell>
        </row>
        <row r="383">
          <cell r="A383" t="str">
            <v>5604-1</v>
          </cell>
          <cell r="B383">
            <v>41884</v>
          </cell>
          <cell r="C383" t="str">
            <v>2014</v>
          </cell>
          <cell r="D383" t="str">
            <v>Vivek Sundaresam</v>
          </cell>
          <cell r="E383" t="str">
            <v>152 Bunnerong Road,Eastgardens</v>
          </cell>
          <cell r="F383" t="str">
            <v>Sydney</v>
          </cell>
          <cell r="G383" t="str">
            <v>NSW</v>
          </cell>
          <cell r="H383" t="str">
            <v>Home Office</v>
          </cell>
          <cell r="I383" t="str">
            <v>Tina Carlton</v>
          </cell>
          <cell r="J383" t="str">
            <v>Low</v>
          </cell>
          <cell r="K383" t="str">
            <v>TechSavi Access Keyboard</v>
          </cell>
          <cell r="L383" t="str">
            <v>Technology</v>
          </cell>
          <cell r="M383" t="str">
            <v>Small Box</v>
          </cell>
          <cell r="N383" t="str">
            <v>Regular Air</v>
          </cell>
          <cell r="O383">
            <v>41886</v>
          </cell>
          <cell r="P383">
            <v>10.07</v>
          </cell>
          <cell r="Q383">
            <v>15.98</v>
          </cell>
          <cell r="R383">
            <v>5.91</v>
          </cell>
          <cell r="S383">
            <v>29</v>
          </cell>
          <cell r="T383">
            <v>463.42</v>
          </cell>
          <cell r="V383">
            <v>18.536799999999999</v>
          </cell>
          <cell r="W383">
            <v>444.88319999999999</v>
          </cell>
          <cell r="X383">
            <v>4</v>
          </cell>
          <cell r="Y383">
            <v>448.88319999999999</v>
          </cell>
        </row>
        <row r="384">
          <cell r="A384" t="str">
            <v>5605-1</v>
          </cell>
          <cell r="B384">
            <v>41885</v>
          </cell>
          <cell r="C384" t="str">
            <v>2014</v>
          </cell>
          <cell r="D384" t="str">
            <v>Odella Nelson</v>
          </cell>
          <cell r="E384" t="str">
            <v>523 King St,Newtown</v>
          </cell>
          <cell r="F384" t="str">
            <v>Sydney</v>
          </cell>
          <cell r="G384" t="str">
            <v>NSW</v>
          </cell>
          <cell r="H384" t="str">
            <v>Small Business</v>
          </cell>
          <cell r="I384" t="str">
            <v>Aanya Zhang</v>
          </cell>
          <cell r="J384" t="str">
            <v>Medium</v>
          </cell>
          <cell r="K384" t="str">
            <v>Artisan Hi-Liter GlideStik Fluorescent Highlighter, Yellow Ink</v>
          </cell>
          <cell r="L384" t="str">
            <v>Office Supplies</v>
          </cell>
          <cell r="M384" t="str">
            <v>Wrap Bag</v>
          </cell>
          <cell r="N384" t="str">
            <v>Regular Air</v>
          </cell>
          <cell r="O384">
            <v>41887</v>
          </cell>
          <cell r="P384">
            <v>1.92</v>
          </cell>
          <cell r="Q384">
            <v>3.26</v>
          </cell>
          <cell r="R384">
            <v>1.3399999999999999</v>
          </cell>
          <cell r="S384">
            <v>31</v>
          </cell>
          <cell r="T384">
            <v>101.05999999999999</v>
          </cell>
          <cell r="V384">
            <v>0</v>
          </cell>
          <cell r="W384">
            <v>101.05999999999999</v>
          </cell>
          <cell r="X384">
            <v>1.86</v>
          </cell>
          <cell r="Y384">
            <v>102.91999999999999</v>
          </cell>
        </row>
        <row r="385">
          <cell r="A385" t="str">
            <v>5606-1</v>
          </cell>
          <cell r="B385">
            <v>41885</v>
          </cell>
          <cell r="C385" t="str">
            <v>2014</v>
          </cell>
          <cell r="D385" t="str">
            <v>Kean Thornton</v>
          </cell>
          <cell r="E385" t="str">
            <v>65 Palmerston Street</v>
          </cell>
          <cell r="F385" t="str">
            <v>Perth</v>
          </cell>
          <cell r="G385" t="str">
            <v>WA</v>
          </cell>
          <cell r="H385" t="str">
            <v>Corporate</v>
          </cell>
          <cell r="I385" t="str">
            <v>Natasha Song</v>
          </cell>
          <cell r="J385" t="str">
            <v>Low</v>
          </cell>
          <cell r="K385" t="str">
            <v>Artisan Hi-Liter Smear-Safe Highlighters</v>
          </cell>
          <cell r="L385" t="str">
            <v>Office Supplies</v>
          </cell>
          <cell r="M385" t="str">
            <v>Wrap Bag</v>
          </cell>
          <cell r="N385" t="str">
            <v>Regular Air</v>
          </cell>
          <cell r="O385">
            <v>41892</v>
          </cell>
          <cell r="P385">
            <v>2.98</v>
          </cell>
          <cell r="Q385">
            <v>5.84</v>
          </cell>
          <cell r="R385">
            <v>2.86</v>
          </cell>
          <cell r="S385">
            <v>22</v>
          </cell>
          <cell r="T385">
            <v>128.47999999999999</v>
          </cell>
          <cell r="V385">
            <v>12.847999999999999</v>
          </cell>
          <cell r="W385">
            <v>115.63199999999999</v>
          </cell>
          <cell r="X385">
            <v>0.83</v>
          </cell>
          <cell r="Y385">
            <v>116.46199999999999</v>
          </cell>
        </row>
        <row r="386">
          <cell r="A386" t="str">
            <v>5607-1</v>
          </cell>
          <cell r="B386">
            <v>41886</v>
          </cell>
          <cell r="C386" t="str">
            <v>2014</v>
          </cell>
          <cell r="D386" t="str">
            <v>Aaron Bergman</v>
          </cell>
          <cell r="E386" t="str">
            <v>Westfield Sydney,Sydney</v>
          </cell>
          <cell r="F386" t="str">
            <v>Sydney</v>
          </cell>
          <cell r="G386" t="str">
            <v>NSW</v>
          </cell>
          <cell r="H386" t="str">
            <v>Corporate</v>
          </cell>
          <cell r="I386" t="str">
            <v>Natasha Song</v>
          </cell>
          <cell r="J386" t="str">
            <v>Not Specified</v>
          </cell>
          <cell r="K386" t="str">
            <v>Apex Preferred Stainless Steel Scissors</v>
          </cell>
          <cell r="L386" t="str">
            <v>Office Supplies</v>
          </cell>
          <cell r="M386" t="str">
            <v>Small Pack</v>
          </cell>
          <cell r="N386" t="str">
            <v>Regular Air</v>
          </cell>
          <cell r="O386">
            <v>41887</v>
          </cell>
          <cell r="P386">
            <v>2.5</v>
          </cell>
          <cell r="Q386">
            <v>5.68</v>
          </cell>
          <cell r="R386">
            <v>3.1799999999999997</v>
          </cell>
          <cell r="S386">
            <v>23</v>
          </cell>
          <cell r="T386">
            <v>130.63999999999999</v>
          </cell>
          <cell r="V386">
            <v>1.3063999999999998</v>
          </cell>
          <cell r="W386">
            <v>129.33359999999999</v>
          </cell>
          <cell r="X386">
            <v>3.6</v>
          </cell>
          <cell r="Y386">
            <v>132.93359999999998</v>
          </cell>
        </row>
        <row r="387">
          <cell r="A387" t="str">
            <v>5609-1</v>
          </cell>
          <cell r="B387">
            <v>41889</v>
          </cell>
          <cell r="C387" t="str">
            <v>2014</v>
          </cell>
          <cell r="D387" t="str">
            <v>Eugene Moren</v>
          </cell>
          <cell r="E387" t="str">
            <v>14/76 Newcastle Street</v>
          </cell>
          <cell r="F387" t="str">
            <v>Perth</v>
          </cell>
          <cell r="G387" t="str">
            <v>WA</v>
          </cell>
          <cell r="H387" t="str">
            <v>Home Office</v>
          </cell>
          <cell r="I387" t="str">
            <v>Mihael Khan</v>
          </cell>
          <cell r="J387" t="str">
            <v>Not Specified</v>
          </cell>
          <cell r="K387" t="str">
            <v>Smiths General Use 3-Ring Binders</v>
          </cell>
          <cell r="L387" t="str">
            <v>Office Supplies</v>
          </cell>
          <cell r="M387" t="str">
            <v>Small Box</v>
          </cell>
          <cell r="N387" t="str">
            <v>Regular Air</v>
          </cell>
          <cell r="O387">
            <v>41889</v>
          </cell>
          <cell r="P387">
            <v>1.18</v>
          </cell>
          <cell r="Q387">
            <v>1.88</v>
          </cell>
          <cell r="R387">
            <v>0.7</v>
          </cell>
          <cell r="S387">
            <v>47</v>
          </cell>
          <cell r="T387">
            <v>88.36</v>
          </cell>
          <cell r="V387">
            <v>5.3015999999999996</v>
          </cell>
          <cell r="W387">
            <v>83.058400000000006</v>
          </cell>
          <cell r="X387">
            <v>1.49</v>
          </cell>
          <cell r="Y387">
            <v>84.548400000000001</v>
          </cell>
        </row>
        <row r="388">
          <cell r="A388" t="str">
            <v>5609-2</v>
          </cell>
          <cell r="B388">
            <v>41889</v>
          </cell>
          <cell r="C388" t="str">
            <v>2014</v>
          </cell>
          <cell r="D388" t="str">
            <v>Eugene Moren</v>
          </cell>
          <cell r="E388" t="str">
            <v>14/76 Newcastle Street</v>
          </cell>
          <cell r="F388" t="str">
            <v>Perth</v>
          </cell>
          <cell r="G388" t="str">
            <v>WA</v>
          </cell>
          <cell r="H388" t="str">
            <v>Home Office</v>
          </cell>
          <cell r="I388" t="str">
            <v>Mihael Khan</v>
          </cell>
          <cell r="J388" t="str">
            <v>Not Specified</v>
          </cell>
          <cell r="K388" t="str">
            <v>Steady Liquid Accent Tank-Style Highlighters</v>
          </cell>
          <cell r="L388" t="str">
            <v>Office Supplies</v>
          </cell>
          <cell r="M388" t="str">
            <v>Wrap Bag</v>
          </cell>
          <cell r="N388" t="str">
            <v>Regular Air</v>
          </cell>
          <cell r="O388">
            <v>41891</v>
          </cell>
          <cell r="P388">
            <v>1.31</v>
          </cell>
          <cell r="Q388">
            <v>2.84</v>
          </cell>
          <cell r="R388">
            <v>1.5299999999999998</v>
          </cell>
          <cell r="S388">
            <v>39</v>
          </cell>
          <cell r="T388">
            <v>110.75999999999999</v>
          </cell>
          <cell r="V388">
            <v>8.8607999999999993</v>
          </cell>
          <cell r="W388">
            <v>101.89919999999999</v>
          </cell>
          <cell r="X388">
            <v>0.93</v>
          </cell>
          <cell r="Y388">
            <v>102.8292</v>
          </cell>
        </row>
        <row r="389">
          <cell r="A389" t="str">
            <v>5612-1</v>
          </cell>
          <cell r="B389">
            <v>41892</v>
          </cell>
          <cell r="C389" t="str">
            <v>2014</v>
          </cell>
          <cell r="D389" t="str">
            <v>Victoria Pisteka</v>
          </cell>
          <cell r="E389" t="str">
            <v>8/2 Edward Street</v>
          </cell>
          <cell r="F389" t="str">
            <v>Perth</v>
          </cell>
          <cell r="G389" t="str">
            <v>WA</v>
          </cell>
          <cell r="H389" t="str">
            <v>Corporate</v>
          </cell>
          <cell r="I389" t="str">
            <v>Natasha Song</v>
          </cell>
          <cell r="J389" t="str">
            <v>Not Specified</v>
          </cell>
          <cell r="K389" t="str">
            <v>3Max Polarizing Light Filter Sleeves</v>
          </cell>
          <cell r="L389" t="str">
            <v>Furniture</v>
          </cell>
          <cell r="M389" t="str">
            <v>Small Pack</v>
          </cell>
          <cell r="N389" t="str">
            <v>Regular Air</v>
          </cell>
          <cell r="O389">
            <v>41894</v>
          </cell>
          <cell r="P389">
            <v>11.38</v>
          </cell>
          <cell r="Q389">
            <v>18.649999999999999</v>
          </cell>
          <cell r="R389">
            <v>7.2699999999999978</v>
          </cell>
          <cell r="S389">
            <v>7</v>
          </cell>
          <cell r="T389">
            <v>130.54999999999998</v>
          </cell>
          <cell r="V389">
            <v>1.3054999999999999</v>
          </cell>
          <cell r="W389">
            <v>129.24449999999999</v>
          </cell>
          <cell r="X389">
            <v>3.77</v>
          </cell>
          <cell r="Y389">
            <v>133.0145</v>
          </cell>
        </row>
        <row r="390">
          <cell r="A390" t="str">
            <v>5613-1</v>
          </cell>
          <cell r="B390">
            <v>41893</v>
          </cell>
          <cell r="C390" t="str">
            <v>2014</v>
          </cell>
          <cell r="D390" t="str">
            <v>Philip Brown</v>
          </cell>
          <cell r="E390" t="str">
            <v>499-501 Lygon Street,Carlton North</v>
          </cell>
          <cell r="F390" t="str">
            <v>Melbourne</v>
          </cell>
          <cell r="G390" t="str">
            <v>VIC</v>
          </cell>
          <cell r="H390" t="str">
            <v>Home Office</v>
          </cell>
          <cell r="I390" t="str">
            <v>Yvette Biti</v>
          </cell>
          <cell r="J390" t="str">
            <v>Critical</v>
          </cell>
          <cell r="K390" t="str">
            <v>Binder Clips by OIC</v>
          </cell>
          <cell r="L390" t="str">
            <v>Office Supplies</v>
          </cell>
          <cell r="M390" t="str">
            <v>Wrap Bag</v>
          </cell>
          <cell r="N390" t="str">
            <v>Regular Air</v>
          </cell>
          <cell r="O390">
            <v>41895</v>
          </cell>
          <cell r="P390">
            <v>0.93</v>
          </cell>
          <cell r="Q390">
            <v>1.48</v>
          </cell>
          <cell r="R390">
            <v>0.54999999999999993</v>
          </cell>
          <cell r="S390">
            <v>15</v>
          </cell>
          <cell r="T390">
            <v>22.2</v>
          </cell>
          <cell r="V390">
            <v>0.66599999999999993</v>
          </cell>
          <cell r="W390">
            <v>21.533999999999999</v>
          </cell>
          <cell r="X390">
            <v>0.7</v>
          </cell>
          <cell r="Y390">
            <v>22.233999999999998</v>
          </cell>
        </row>
        <row r="391">
          <cell r="A391" t="str">
            <v>5615-1</v>
          </cell>
          <cell r="B391">
            <v>41894</v>
          </cell>
          <cell r="C391" t="str">
            <v>2014</v>
          </cell>
          <cell r="D391" t="str">
            <v>Jack Garza</v>
          </cell>
          <cell r="E391" t="str">
            <v>2a/285A Crown St,Surry Hills</v>
          </cell>
          <cell r="F391" t="str">
            <v>Sydney</v>
          </cell>
          <cell r="G391" t="str">
            <v>NSW</v>
          </cell>
          <cell r="H391" t="str">
            <v>Corporate</v>
          </cell>
          <cell r="I391" t="str">
            <v>Phoebe Gour</v>
          </cell>
          <cell r="J391" t="str">
            <v>Critical</v>
          </cell>
          <cell r="K391" t="str">
            <v>Creator Anti Dust Chalk, 12/Pack</v>
          </cell>
          <cell r="L391" t="str">
            <v>Office Supplies</v>
          </cell>
          <cell r="M391" t="str">
            <v>Wrap Bag</v>
          </cell>
          <cell r="N391" t="str">
            <v>Regular Air</v>
          </cell>
          <cell r="O391">
            <v>41895</v>
          </cell>
          <cell r="P391">
            <v>1.0900000000000001</v>
          </cell>
          <cell r="Q391">
            <v>1.82</v>
          </cell>
          <cell r="R391">
            <v>0.73</v>
          </cell>
          <cell r="S391">
            <v>36</v>
          </cell>
          <cell r="T391">
            <v>65.52</v>
          </cell>
          <cell r="V391">
            <v>5.8967999999999998</v>
          </cell>
          <cell r="W391">
            <v>59.623199999999997</v>
          </cell>
          <cell r="X391">
            <v>1</v>
          </cell>
          <cell r="Y391">
            <v>60.623199999999997</v>
          </cell>
        </row>
        <row r="392">
          <cell r="A392" t="str">
            <v>5616-1</v>
          </cell>
          <cell r="B392">
            <v>41894</v>
          </cell>
          <cell r="C392" t="str">
            <v>2014</v>
          </cell>
          <cell r="D392" t="str">
            <v>Gary Hansen</v>
          </cell>
          <cell r="E392" t="str">
            <v>273 George Street,Sydney</v>
          </cell>
          <cell r="F392" t="str">
            <v>Sydney</v>
          </cell>
          <cell r="G392" t="str">
            <v>NSW</v>
          </cell>
          <cell r="H392" t="str">
            <v>Consumer</v>
          </cell>
          <cell r="I392" t="str">
            <v>Leighton Forrest</v>
          </cell>
          <cell r="J392" t="str">
            <v>Low</v>
          </cell>
          <cell r="K392" t="str">
            <v>Multi-Use Personal File Cart and Caster Set, Three Stacking Bins</v>
          </cell>
          <cell r="L392" t="str">
            <v>Office Supplies</v>
          </cell>
          <cell r="M392" t="str">
            <v>Small Box</v>
          </cell>
          <cell r="N392" t="str">
            <v>Regular Air</v>
          </cell>
          <cell r="O392">
            <v>41901</v>
          </cell>
          <cell r="P392">
            <v>14.95</v>
          </cell>
          <cell r="Q392">
            <v>34.76</v>
          </cell>
          <cell r="R392">
            <v>19.809999999999999</v>
          </cell>
          <cell r="S392">
            <v>34</v>
          </cell>
          <cell r="T392">
            <v>1181.8399999999999</v>
          </cell>
          <cell r="V392">
            <v>35.455199999999998</v>
          </cell>
          <cell r="W392">
            <v>1146.3847999999998</v>
          </cell>
          <cell r="X392">
            <v>8.2200000000000006</v>
          </cell>
          <cell r="Y392">
            <v>1154.6047999999998</v>
          </cell>
        </row>
        <row r="393">
          <cell r="A393" t="str">
            <v>5618-1</v>
          </cell>
          <cell r="B393">
            <v>41895</v>
          </cell>
          <cell r="C393" t="str">
            <v>2014</v>
          </cell>
          <cell r="D393" t="str">
            <v>Christina Vanderzanden</v>
          </cell>
          <cell r="E393" t="str">
            <v>188 Pitt Street,Sydney</v>
          </cell>
          <cell r="F393" t="str">
            <v>Sydney</v>
          </cell>
          <cell r="G393" t="str">
            <v>NSW</v>
          </cell>
          <cell r="H393" t="str">
            <v>Small Business</v>
          </cell>
          <cell r="I393" t="str">
            <v>Tina Carlton</v>
          </cell>
          <cell r="J393" t="str">
            <v>Low</v>
          </cell>
          <cell r="K393" t="str">
            <v>Angle-D Binders with Locking Rings, Label Holders</v>
          </cell>
          <cell r="L393" t="str">
            <v>Office Supplies</v>
          </cell>
          <cell r="M393" t="str">
            <v>Small Box</v>
          </cell>
          <cell r="N393" t="str">
            <v>Regular Air</v>
          </cell>
          <cell r="O393">
            <v>41899</v>
          </cell>
          <cell r="P393">
            <v>4.53</v>
          </cell>
          <cell r="Q393">
            <v>7.3</v>
          </cell>
          <cell r="R393">
            <v>2.7699999999999996</v>
          </cell>
          <cell r="S393">
            <v>26</v>
          </cell>
          <cell r="T393">
            <v>189.79999999999998</v>
          </cell>
          <cell r="V393">
            <v>5.6939999999999991</v>
          </cell>
          <cell r="W393">
            <v>184.10599999999999</v>
          </cell>
          <cell r="X393">
            <v>7.72</v>
          </cell>
          <cell r="Y393">
            <v>191.82599999999999</v>
          </cell>
        </row>
        <row r="394">
          <cell r="A394" t="str">
            <v>5619-1</v>
          </cell>
          <cell r="B394">
            <v>41899</v>
          </cell>
          <cell r="C394" t="str">
            <v>2014</v>
          </cell>
          <cell r="D394" t="str">
            <v>Bart Watters</v>
          </cell>
          <cell r="E394" t="str">
            <v>27/580 Hay Street, Perth</v>
          </cell>
          <cell r="F394" t="str">
            <v>Sydney</v>
          </cell>
          <cell r="G394" t="str">
            <v>NSW</v>
          </cell>
          <cell r="H394" t="str">
            <v>Corporate</v>
          </cell>
          <cell r="I394" t="str">
            <v>Nicholas Fernandes</v>
          </cell>
          <cell r="J394" t="str">
            <v>Critical</v>
          </cell>
          <cell r="K394" t="str">
            <v>Artisan Poly Binder Pockets</v>
          </cell>
          <cell r="L394" t="str">
            <v>Office Supplies</v>
          </cell>
          <cell r="M394" t="str">
            <v>Small Box</v>
          </cell>
          <cell r="N394" t="str">
            <v>Regular Air</v>
          </cell>
          <cell r="O394">
            <v>41900</v>
          </cell>
          <cell r="P394">
            <v>2.2599999999999998</v>
          </cell>
          <cell r="Q394">
            <v>3.58</v>
          </cell>
          <cell r="R394">
            <v>1.3200000000000003</v>
          </cell>
          <cell r="S394">
            <v>19</v>
          </cell>
          <cell r="T394">
            <v>68.02</v>
          </cell>
          <cell r="V394">
            <v>0</v>
          </cell>
          <cell r="W394">
            <v>68.02</v>
          </cell>
          <cell r="X394">
            <v>5.47</v>
          </cell>
          <cell r="Y394">
            <v>73.489999999999995</v>
          </cell>
        </row>
        <row r="395">
          <cell r="A395" t="str">
            <v>5621-1</v>
          </cell>
          <cell r="B395">
            <v>41903</v>
          </cell>
          <cell r="C395" t="str">
            <v>2014</v>
          </cell>
          <cell r="D395" t="str">
            <v>George Ashbrook</v>
          </cell>
          <cell r="E395" t="str">
            <v>506 Swan Street,Richmond</v>
          </cell>
          <cell r="F395" t="str">
            <v>Melbourne</v>
          </cell>
          <cell r="G395" t="str">
            <v>VIC</v>
          </cell>
          <cell r="H395" t="str">
            <v>Consumer</v>
          </cell>
          <cell r="I395" t="str">
            <v>Connor Betts</v>
          </cell>
          <cell r="J395" t="str">
            <v>Medium</v>
          </cell>
          <cell r="K395" t="str">
            <v>600 Series Non-Flip</v>
          </cell>
          <cell r="L395" t="str">
            <v>Technology</v>
          </cell>
          <cell r="M395" t="str">
            <v>Small Box</v>
          </cell>
          <cell r="N395" t="str">
            <v>Regular Air</v>
          </cell>
          <cell r="O395">
            <v>41905</v>
          </cell>
          <cell r="P395">
            <v>19.78</v>
          </cell>
          <cell r="Q395">
            <v>45.99</v>
          </cell>
          <cell r="R395">
            <v>26.21</v>
          </cell>
          <cell r="S395">
            <v>23</v>
          </cell>
          <cell r="T395">
            <v>1057.77</v>
          </cell>
          <cell r="V395">
            <v>105.777</v>
          </cell>
          <cell r="W395">
            <v>951.99299999999994</v>
          </cell>
          <cell r="X395">
            <v>4.99</v>
          </cell>
          <cell r="Y395">
            <v>956.98299999999995</v>
          </cell>
        </row>
        <row r="396">
          <cell r="A396" t="str">
            <v>5621-2</v>
          </cell>
          <cell r="B396">
            <v>41903</v>
          </cell>
          <cell r="C396" t="str">
            <v>2014</v>
          </cell>
          <cell r="D396" t="str">
            <v>George Ashbrook</v>
          </cell>
          <cell r="E396" t="str">
            <v>506 Swan Street,Richmond</v>
          </cell>
          <cell r="F396" t="str">
            <v>Melbourne</v>
          </cell>
          <cell r="G396" t="str">
            <v>VIC</v>
          </cell>
          <cell r="H396" t="str">
            <v>Consumer</v>
          </cell>
          <cell r="I396" t="str">
            <v>Connor Betts</v>
          </cell>
          <cell r="J396" t="str">
            <v>Medium</v>
          </cell>
          <cell r="K396" t="str">
            <v>Binder Clips by OIC</v>
          </cell>
          <cell r="L396" t="str">
            <v>Office Supplies</v>
          </cell>
          <cell r="M396" t="str">
            <v>Wrap Bag</v>
          </cell>
          <cell r="N396" t="str">
            <v>Regular Air</v>
          </cell>
          <cell r="O396">
            <v>41904</v>
          </cell>
          <cell r="P396">
            <v>0.93</v>
          </cell>
          <cell r="Q396">
            <v>1.48</v>
          </cell>
          <cell r="R396">
            <v>0.54999999999999993</v>
          </cell>
          <cell r="S396">
            <v>33</v>
          </cell>
          <cell r="T396">
            <v>48.839999999999996</v>
          </cell>
          <cell r="V396">
            <v>2.9303999999999997</v>
          </cell>
          <cell r="W396">
            <v>45.909599999999998</v>
          </cell>
          <cell r="X396">
            <v>0.7</v>
          </cell>
          <cell r="Y396">
            <v>46.6096</v>
          </cell>
        </row>
        <row r="397">
          <cell r="A397" t="str">
            <v>5625-1</v>
          </cell>
          <cell r="B397">
            <v>41905</v>
          </cell>
          <cell r="C397" t="str">
            <v>2014</v>
          </cell>
          <cell r="D397" t="str">
            <v>Nathan Mautz</v>
          </cell>
          <cell r="E397" t="str">
            <v>412 Brunswick St,Fitzroy</v>
          </cell>
          <cell r="F397" t="str">
            <v>Melbourne</v>
          </cell>
          <cell r="G397" t="str">
            <v>VIC</v>
          </cell>
          <cell r="H397" t="str">
            <v>Corporate</v>
          </cell>
          <cell r="I397" t="str">
            <v>Connor Betts</v>
          </cell>
          <cell r="J397" t="str">
            <v>High</v>
          </cell>
          <cell r="K397" t="str">
            <v>DrawIt Colored Pencils</v>
          </cell>
          <cell r="L397" t="str">
            <v>Office Supplies</v>
          </cell>
          <cell r="M397" t="str">
            <v>Wrap Bag</v>
          </cell>
          <cell r="N397" t="str">
            <v>Express Air</v>
          </cell>
          <cell r="O397">
            <v>41907</v>
          </cell>
          <cell r="P397">
            <v>4.37</v>
          </cell>
          <cell r="Q397">
            <v>9.11</v>
          </cell>
          <cell r="R397">
            <v>4.7399999999999993</v>
          </cell>
          <cell r="S397">
            <v>48</v>
          </cell>
          <cell r="T397">
            <v>437.28</v>
          </cell>
          <cell r="V397">
            <v>26.236799999999999</v>
          </cell>
          <cell r="W397">
            <v>411.04319999999996</v>
          </cell>
          <cell r="X397">
            <v>2.25</v>
          </cell>
          <cell r="Y397">
            <v>413.29319999999996</v>
          </cell>
        </row>
        <row r="398">
          <cell r="A398" t="str">
            <v>5627-1</v>
          </cell>
          <cell r="B398">
            <v>41909</v>
          </cell>
          <cell r="C398" t="str">
            <v>2014</v>
          </cell>
          <cell r="D398" t="str">
            <v>Cindy Chapman</v>
          </cell>
          <cell r="E398" t="str">
            <v>101 Murray Street</v>
          </cell>
          <cell r="F398" t="str">
            <v>Perth</v>
          </cell>
          <cell r="G398" t="str">
            <v>WA</v>
          </cell>
          <cell r="H398" t="str">
            <v>Corporate</v>
          </cell>
          <cell r="I398" t="str">
            <v>Tina Carlton</v>
          </cell>
          <cell r="J398" t="str">
            <v>Low</v>
          </cell>
          <cell r="K398" t="str">
            <v>Office Shears by Apex</v>
          </cell>
          <cell r="L398" t="str">
            <v>Office Supplies</v>
          </cell>
          <cell r="M398" t="str">
            <v>Small Pack</v>
          </cell>
          <cell r="N398" t="str">
            <v>Regular Air</v>
          </cell>
          <cell r="O398">
            <v>41914</v>
          </cell>
          <cell r="P398">
            <v>0.94</v>
          </cell>
          <cell r="Q398">
            <v>2.08</v>
          </cell>
          <cell r="R398">
            <v>1.1400000000000001</v>
          </cell>
          <cell r="S398">
            <v>36</v>
          </cell>
          <cell r="T398">
            <v>74.88</v>
          </cell>
          <cell r="V398">
            <v>0.74880000000000002</v>
          </cell>
          <cell r="W398">
            <v>74.131199999999993</v>
          </cell>
          <cell r="X398">
            <v>2.56</v>
          </cell>
          <cell r="Y398">
            <v>76.691199999999995</v>
          </cell>
        </row>
        <row r="399">
          <cell r="A399" t="str">
            <v>5629-1</v>
          </cell>
          <cell r="B399">
            <v>41910</v>
          </cell>
          <cell r="C399" t="str">
            <v>2014</v>
          </cell>
          <cell r="D399" t="str">
            <v>Charles McCrossin</v>
          </cell>
          <cell r="E399" t="str">
            <v>81 MacLeay St,Potts Point</v>
          </cell>
          <cell r="F399" t="str">
            <v>Sydney</v>
          </cell>
          <cell r="G399" t="str">
            <v>NSW</v>
          </cell>
          <cell r="H399" t="str">
            <v>Corporate</v>
          </cell>
          <cell r="I399" t="str">
            <v>Samantha Chairs</v>
          </cell>
          <cell r="J399" t="str">
            <v>High</v>
          </cell>
          <cell r="K399" t="str">
            <v>Smiths Paper Clips</v>
          </cell>
          <cell r="L399" t="str">
            <v>Office Supplies</v>
          </cell>
          <cell r="M399" t="str">
            <v>Wrap Bag</v>
          </cell>
          <cell r="N399" t="str">
            <v>Regular Air</v>
          </cell>
          <cell r="O399">
            <v>41911</v>
          </cell>
          <cell r="P399">
            <v>1.53</v>
          </cell>
          <cell r="Q399">
            <v>2.4700000000000002</v>
          </cell>
          <cell r="R399">
            <v>0.94000000000000017</v>
          </cell>
          <cell r="S399">
            <v>49</v>
          </cell>
          <cell r="T399">
            <v>121.03000000000002</v>
          </cell>
          <cell r="V399">
            <v>3.6309000000000005</v>
          </cell>
          <cell r="W399">
            <v>117.39910000000002</v>
          </cell>
          <cell r="X399">
            <v>1.02</v>
          </cell>
          <cell r="Y399">
            <v>118.41910000000001</v>
          </cell>
        </row>
        <row r="400">
          <cell r="A400" t="str">
            <v>5630-1</v>
          </cell>
          <cell r="B400">
            <v>41910</v>
          </cell>
          <cell r="C400" t="str">
            <v>2014</v>
          </cell>
          <cell r="D400" t="str">
            <v>Giulietta Baptist</v>
          </cell>
          <cell r="E400" t="str">
            <v>Hoyts Entertainment Quarter 122 Lang Road,Moore Park</v>
          </cell>
          <cell r="F400" t="str">
            <v>Sydney</v>
          </cell>
          <cell r="G400" t="str">
            <v>NSW</v>
          </cell>
          <cell r="H400" t="str">
            <v>Home Office</v>
          </cell>
          <cell r="I400" t="str">
            <v>Tina Carlton</v>
          </cell>
          <cell r="J400" t="str">
            <v>High</v>
          </cell>
          <cell r="K400" t="str">
            <v>Steady Liquid Accent Highlighters</v>
          </cell>
          <cell r="L400" t="str">
            <v>Office Supplies</v>
          </cell>
          <cell r="M400" t="str">
            <v>Wrap Bag</v>
          </cell>
          <cell r="N400" t="str">
            <v>Regular Air</v>
          </cell>
          <cell r="O400">
            <v>41911</v>
          </cell>
          <cell r="P400">
            <v>3.47</v>
          </cell>
          <cell r="Q400">
            <v>6.68</v>
          </cell>
          <cell r="R400">
            <v>3.2099999999999995</v>
          </cell>
          <cell r="S400">
            <v>16</v>
          </cell>
          <cell r="T400">
            <v>106.88</v>
          </cell>
          <cell r="V400">
            <v>10.688000000000001</v>
          </cell>
          <cell r="W400">
            <v>96.191999999999993</v>
          </cell>
          <cell r="X400">
            <v>1.5</v>
          </cell>
          <cell r="Y400">
            <v>97.691999999999993</v>
          </cell>
        </row>
        <row r="401">
          <cell r="A401" t="str">
            <v>5631-1</v>
          </cell>
          <cell r="B401">
            <v>41911</v>
          </cell>
          <cell r="C401" t="str">
            <v>2014</v>
          </cell>
          <cell r="D401" t="str">
            <v>Christopher Martinez</v>
          </cell>
          <cell r="E401" t="str">
            <v>32 Wellington Street</v>
          </cell>
          <cell r="F401" t="str">
            <v>Perth</v>
          </cell>
          <cell r="G401" t="str">
            <v>WA</v>
          </cell>
          <cell r="H401" t="str">
            <v>Small Business</v>
          </cell>
          <cell r="I401" t="str">
            <v>Tina Carlton</v>
          </cell>
          <cell r="J401" t="str">
            <v>Low</v>
          </cell>
          <cell r="K401" t="str">
            <v>OIC Thumb-Tacks</v>
          </cell>
          <cell r="L401" t="str">
            <v>Office Supplies</v>
          </cell>
          <cell r="M401" t="str">
            <v>Wrap Bag</v>
          </cell>
          <cell r="N401" t="str">
            <v>Regular Air</v>
          </cell>
          <cell r="O401">
            <v>41911</v>
          </cell>
          <cell r="P401">
            <v>0.71</v>
          </cell>
          <cell r="Q401">
            <v>1.1399999999999999</v>
          </cell>
          <cell r="R401">
            <v>0.42999999999999994</v>
          </cell>
          <cell r="S401">
            <v>8</v>
          </cell>
          <cell r="T401">
            <v>9.1199999999999992</v>
          </cell>
          <cell r="V401">
            <v>0</v>
          </cell>
          <cell r="W401">
            <v>9.1199999999999992</v>
          </cell>
          <cell r="X401">
            <v>0.7</v>
          </cell>
          <cell r="Y401">
            <v>9.8199999999999985</v>
          </cell>
        </row>
        <row r="402">
          <cell r="A402" t="str">
            <v>5633-1</v>
          </cell>
          <cell r="B402">
            <v>41913</v>
          </cell>
          <cell r="C402" t="str">
            <v>2014</v>
          </cell>
          <cell r="D402" t="str">
            <v>Patrick Jones</v>
          </cell>
          <cell r="E402" t="str">
            <v>221 Barkly St,St Kilda</v>
          </cell>
          <cell r="F402" t="str">
            <v>Melbourne</v>
          </cell>
          <cell r="G402" t="str">
            <v>VIC</v>
          </cell>
          <cell r="H402" t="str">
            <v>Home Office</v>
          </cell>
          <cell r="I402" t="str">
            <v>Yvette Biti</v>
          </cell>
          <cell r="J402" t="str">
            <v>High</v>
          </cell>
          <cell r="K402" t="str">
            <v>Adesso Programmable 142-Key Keyboard</v>
          </cell>
          <cell r="L402" t="str">
            <v>Technology</v>
          </cell>
          <cell r="M402" t="str">
            <v>Small Box</v>
          </cell>
          <cell r="N402" t="str">
            <v>Regular Air</v>
          </cell>
          <cell r="O402">
            <v>41915</v>
          </cell>
          <cell r="P402">
            <v>39.64</v>
          </cell>
          <cell r="Q402">
            <v>152.47999999999999</v>
          </cell>
          <cell r="R402">
            <v>112.83999999999999</v>
          </cell>
          <cell r="S402">
            <v>48</v>
          </cell>
          <cell r="T402">
            <v>7319.0399999999991</v>
          </cell>
          <cell r="V402">
            <v>292.76159999999999</v>
          </cell>
          <cell r="W402">
            <v>7026.2783999999992</v>
          </cell>
          <cell r="X402">
            <v>6.5</v>
          </cell>
          <cell r="Y402">
            <v>7032.7783999999992</v>
          </cell>
        </row>
        <row r="403">
          <cell r="A403" t="str">
            <v>5635-1</v>
          </cell>
          <cell r="B403">
            <v>41913</v>
          </cell>
          <cell r="C403" t="str">
            <v>2014</v>
          </cell>
          <cell r="D403" t="str">
            <v>Jamie Kunitz</v>
          </cell>
          <cell r="E403" t="str">
            <v>Sydney Fish Market, Bank Street, Sydney</v>
          </cell>
          <cell r="F403" t="str">
            <v>Sydney</v>
          </cell>
          <cell r="G403" t="str">
            <v>NSW</v>
          </cell>
          <cell r="H403" t="str">
            <v>Corporate</v>
          </cell>
          <cell r="I403" t="str">
            <v>Phoebe Gour</v>
          </cell>
          <cell r="J403" t="str">
            <v>Not Specified</v>
          </cell>
          <cell r="K403" t="str">
            <v>PastelOcean Color Pencil Set</v>
          </cell>
          <cell r="L403" t="str">
            <v>Office Supplies</v>
          </cell>
          <cell r="M403" t="str">
            <v>Wrap Bag</v>
          </cell>
          <cell r="N403" t="str">
            <v>Express Air</v>
          </cell>
          <cell r="O403">
            <v>41914</v>
          </cell>
          <cell r="P403">
            <v>11.11</v>
          </cell>
          <cell r="Q403">
            <v>19.84</v>
          </cell>
          <cell r="R403">
            <v>8.73</v>
          </cell>
          <cell r="S403">
            <v>15</v>
          </cell>
          <cell r="T403">
            <v>297.60000000000002</v>
          </cell>
          <cell r="V403">
            <v>0</v>
          </cell>
          <cell r="W403">
            <v>297.60000000000002</v>
          </cell>
          <cell r="X403">
            <v>4.0999999999999996</v>
          </cell>
          <cell r="Y403">
            <v>301.70000000000005</v>
          </cell>
        </row>
        <row r="404">
          <cell r="A404" t="str">
            <v>5637-1</v>
          </cell>
          <cell r="B404">
            <v>41914</v>
          </cell>
          <cell r="C404" t="str">
            <v>2014</v>
          </cell>
          <cell r="D404" t="str">
            <v>Carl Jackson</v>
          </cell>
          <cell r="E404" t="str">
            <v>6 Mary St,Newtown</v>
          </cell>
          <cell r="F404" t="str">
            <v>Sydney</v>
          </cell>
          <cell r="G404" t="str">
            <v>NSW</v>
          </cell>
          <cell r="H404" t="str">
            <v>Home Office</v>
          </cell>
          <cell r="I404" t="str">
            <v>Samantha Chairs</v>
          </cell>
          <cell r="J404" t="str">
            <v>High</v>
          </cell>
          <cell r="K404" t="str">
            <v>Artisan 487 Labels</v>
          </cell>
          <cell r="L404" t="str">
            <v>Office Supplies</v>
          </cell>
          <cell r="M404" t="str">
            <v>Small Box</v>
          </cell>
          <cell r="N404" t="str">
            <v>Regular Air</v>
          </cell>
          <cell r="O404">
            <v>41916</v>
          </cell>
          <cell r="P404">
            <v>2.29</v>
          </cell>
          <cell r="Q404">
            <v>3.69</v>
          </cell>
          <cell r="R404">
            <v>1.4</v>
          </cell>
          <cell r="S404">
            <v>30</v>
          </cell>
          <cell r="T404">
            <v>110.7</v>
          </cell>
          <cell r="V404">
            <v>9.9629999999999992</v>
          </cell>
          <cell r="W404">
            <v>100.73700000000001</v>
          </cell>
          <cell r="X404">
            <v>0.5</v>
          </cell>
          <cell r="Y404">
            <v>101.23700000000001</v>
          </cell>
        </row>
        <row r="405">
          <cell r="A405" t="str">
            <v>5639-1</v>
          </cell>
          <cell r="B405">
            <v>41914</v>
          </cell>
          <cell r="C405" t="str">
            <v>2014</v>
          </cell>
          <cell r="D405" t="str">
            <v>Ritsa Hightower</v>
          </cell>
          <cell r="E405" t="str">
            <v>22 St Georges Terrace</v>
          </cell>
          <cell r="F405" t="str">
            <v>Perth</v>
          </cell>
          <cell r="G405" t="str">
            <v>WA</v>
          </cell>
          <cell r="H405" t="str">
            <v>Corporate</v>
          </cell>
          <cell r="I405" t="str">
            <v>Natasha Song</v>
          </cell>
          <cell r="J405" t="str">
            <v>High</v>
          </cell>
          <cell r="K405" t="str">
            <v>Smiths Colored Bar Computer Paper</v>
          </cell>
          <cell r="L405" t="str">
            <v>Office Supplies</v>
          </cell>
          <cell r="M405" t="str">
            <v>Small Box</v>
          </cell>
          <cell r="N405" t="str">
            <v>Regular Air</v>
          </cell>
          <cell r="O405">
            <v>41916</v>
          </cell>
          <cell r="P405">
            <v>21.97</v>
          </cell>
          <cell r="Q405">
            <v>35.44</v>
          </cell>
          <cell r="R405">
            <v>13.469999999999999</v>
          </cell>
          <cell r="S405">
            <v>29</v>
          </cell>
          <cell r="T405">
            <v>1027.76</v>
          </cell>
          <cell r="V405">
            <v>30.832799999999999</v>
          </cell>
          <cell r="W405">
            <v>996.92719999999997</v>
          </cell>
          <cell r="X405">
            <v>4.92</v>
          </cell>
          <cell r="Y405">
            <v>1001.8471999999999</v>
          </cell>
        </row>
        <row r="406">
          <cell r="A406" t="str">
            <v>5641-1</v>
          </cell>
          <cell r="B406">
            <v>41915</v>
          </cell>
          <cell r="C406" t="str">
            <v>2014</v>
          </cell>
          <cell r="D406" t="str">
            <v>Nathan Mautz</v>
          </cell>
          <cell r="E406" t="str">
            <v>412 Brunswick St,Fitzroy</v>
          </cell>
          <cell r="F406" t="str">
            <v>Melbourne</v>
          </cell>
          <cell r="G406" t="str">
            <v>VIC</v>
          </cell>
          <cell r="H406" t="str">
            <v>Corporate</v>
          </cell>
          <cell r="I406" t="str">
            <v>Connor Betts</v>
          </cell>
          <cell r="J406" t="str">
            <v>Not Specified</v>
          </cell>
          <cell r="K406" t="str">
            <v>OIC Thumb-Tacks</v>
          </cell>
          <cell r="L406" t="str">
            <v>Office Supplies</v>
          </cell>
          <cell r="M406" t="str">
            <v>Wrap Bag</v>
          </cell>
          <cell r="N406" t="str">
            <v>Regular Air</v>
          </cell>
          <cell r="O406">
            <v>41917</v>
          </cell>
          <cell r="P406">
            <v>0.71</v>
          </cell>
          <cell r="Q406">
            <v>1.1399999999999999</v>
          </cell>
          <cell r="R406">
            <v>0.42999999999999994</v>
          </cell>
          <cell r="S406">
            <v>4</v>
          </cell>
          <cell r="T406">
            <v>4.5599999999999996</v>
          </cell>
          <cell r="V406">
            <v>0</v>
          </cell>
          <cell r="W406">
            <v>4.5599999999999996</v>
          </cell>
          <cell r="X406">
            <v>0.7</v>
          </cell>
          <cell r="Y406">
            <v>5.26</v>
          </cell>
        </row>
        <row r="407">
          <cell r="A407" t="str">
            <v>5643-1</v>
          </cell>
          <cell r="B407">
            <v>41916</v>
          </cell>
          <cell r="C407" t="str">
            <v>2014</v>
          </cell>
          <cell r="D407" t="str">
            <v>Liz Price</v>
          </cell>
          <cell r="E407" t="str">
            <v>Sydney Fish Market, Bank Street, Sydney</v>
          </cell>
          <cell r="F407" t="str">
            <v>Sydney</v>
          </cell>
          <cell r="G407" t="str">
            <v>NSW</v>
          </cell>
          <cell r="H407" t="str">
            <v>Consumer</v>
          </cell>
          <cell r="I407" t="str">
            <v>Phoebe Gour</v>
          </cell>
          <cell r="J407" t="str">
            <v>Low</v>
          </cell>
          <cell r="K407" t="str">
            <v>Artisan Non-Stick Binders</v>
          </cell>
          <cell r="L407" t="str">
            <v>Office Supplies</v>
          </cell>
          <cell r="M407" t="str">
            <v>Small Box</v>
          </cell>
          <cell r="N407" t="str">
            <v>Express Air</v>
          </cell>
          <cell r="O407">
            <v>41923</v>
          </cell>
          <cell r="P407">
            <v>2.74</v>
          </cell>
          <cell r="Q407">
            <v>4.49</v>
          </cell>
          <cell r="R407">
            <v>1.75</v>
          </cell>
          <cell r="S407">
            <v>44</v>
          </cell>
          <cell r="T407">
            <v>197.56</v>
          </cell>
          <cell r="V407">
            <v>5.9268000000000001</v>
          </cell>
          <cell r="W407">
            <v>191.63319999999999</v>
          </cell>
          <cell r="X407">
            <v>1.49</v>
          </cell>
          <cell r="Y407">
            <v>193.1232</v>
          </cell>
        </row>
        <row r="408">
          <cell r="A408" t="str">
            <v>5644-1</v>
          </cell>
          <cell r="B408">
            <v>41916</v>
          </cell>
          <cell r="C408" t="str">
            <v>2014</v>
          </cell>
          <cell r="D408" t="str">
            <v>Patrick OBrill</v>
          </cell>
          <cell r="E408" t="str">
            <v>27/580 Hay Street</v>
          </cell>
          <cell r="F408" t="str">
            <v>Perth</v>
          </cell>
          <cell r="G408" t="str">
            <v>WA</v>
          </cell>
          <cell r="H408" t="str">
            <v>Home Office</v>
          </cell>
          <cell r="I408" t="str">
            <v>Tina Carlton</v>
          </cell>
          <cell r="J408" t="str">
            <v>Low</v>
          </cell>
          <cell r="K408" t="str">
            <v>Laser DVD-RAM discs</v>
          </cell>
          <cell r="L408" t="str">
            <v>Technology</v>
          </cell>
          <cell r="M408" t="str">
            <v>Small Pack</v>
          </cell>
          <cell r="N408" t="str">
            <v>Regular Air</v>
          </cell>
          <cell r="O408">
            <v>41918</v>
          </cell>
          <cell r="P408">
            <v>20.18</v>
          </cell>
          <cell r="Q408">
            <v>35.409999999999997</v>
          </cell>
          <cell r="R408">
            <v>15.229999999999997</v>
          </cell>
          <cell r="S408">
            <v>5</v>
          </cell>
          <cell r="T408">
            <v>177.04999999999998</v>
          </cell>
          <cell r="V408">
            <v>0</v>
          </cell>
          <cell r="W408">
            <v>177.04999999999998</v>
          </cell>
          <cell r="X408">
            <v>1.99</v>
          </cell>
          <cell r="Y408">
            <v>179.04</v>
          </cell>
        </row>
        <row r="409">
          <cell r="A409" t="str">
            <v>5645-1</v>
          </cell>
          <cell r="B409">
            <v>41918</v>
          </cell>
          <cell r="C409" t="str">
            <v>2014</v>
          </cell>
          <cell r="D409" t="str">
            <v>Sanjit Jacobs</v>
          </cell>
          <cell r="E409" t="str">
            <v>541 Church St,Richmond</v>
          </cell>
          <cell r="F409" t="str">
            <v>Melbourne</v>
          </cell>
          <cell r="G409" t="str">
            <v>VIC</v>
          </cell>
          <cell r="H409" t="str">
            <v>Consumer</v>
          </cell>
          <cell r="I409" t="str">
            <v>Yvette Biti</v>
          </cell>
          <cell r="J409" t="str">
            <v>Critical</v>
          </cell>
          <cell r="K409" t="str">
            <v>Artisan 481 Labels</v>
          </cell>
          <cell r="L409" t="str">
            <v>Office Supplies</v>
          </cell>
          <cell r="M409" t="str">
            <v>Small Box</v>
          </cell>
          <cell r="N409" t="str">
            <v>Regular Air</v>
          </cell>
          <cell r="O409">
            <v>41919</v>
          </cell>
          <cell r="P409">
            <v>1.94</v>
          </cell>
          <cell r="Q409">
            <v>3.08</v>
          </cell>
          <cell r="R409">
            <v>1.1400000000000001</v>
          </cell>
          <cell r="S409">
            <v>46</v>
          </cell>
          <cell r="T409">
            <v>141.68</v>
          </cell>
          <cell r="V409">
            <v>5.6672000000000002</v>
          </cell>
          <cell r="W409">
            <v>136.0128</v>
          </cell>
          <cell r="X409">
            <v>0.99</v>
          </cell>
          <cell r="Y409">
            <v>137.00280000000001</v>
          </cell>
        </row>
        <row r="410">
          <cell r="A410" t="str">
            <v>5646-1</v>
          </cell>
          <cell r="B410">
            <v>41920</v>
          </cell>
          <cell r="C410" t="str">
            <v>2014</v>
          </cell>
          <cell r="D410" t="str">
            <v>Christopher Schild</v>
          </cell>
          <cell r="E410" t="str">
            <v>4A Lyons St,Strathfield</v>
          </cell>
          <cell r="F410" t="str">
            <v>Sydney</v>
          </cell>
          <cell r="G410" t="str">
            <v>NSW</v>
          </cell>
          <cell r="H410" t="str">
            <v>Corporate</v>
          </cell>
          <cell r="I410" t="str">
            <v>Tina Carlton</v>
          </cell>
          <cell r="J410" t="str">
            <v>High</v>
          </cell>
          <cell r="K410" t="str">
            <v>Aluminum Document Frame</v>
          </cell>
          <cell r="L410" t="str">
            <v>Furniture</v>
          </cell>
          <cell r="M410" t="str">
            <v>Small Pack</v>
          </cell>
          <cell r="N410" t="str">
            <v>Regular Air</v>
          </cell>
          <cell r="O410">
            <v>41922</v>
          </cell>
          <cell r="P410">
            <v>5.5</v>
          </cell>
          <cell r="Q410">
            <v>12.22</v>
          </cell>
          <cell r="R410">
            <v>6.7200000000000006</v>
          </cell>
          <cell r="S410">
            <v>1</v>
          </cell>
          <cell r="T410">
            <v>12.22</v>
          </cell>
          <cell r="V410">
            <v>1.2220000000000002</v>
          </cell>
          <cell r="W410">
            <v>10.998000000000001</v>
          </cell>
          <cell r="X410">
            <v>2.85</v>
          </cell>
          <cell r="Y410">
            <v>13.848000000000001</v>
          </cell>
        </row>
        <row r="411">
          <cell r="A411" t="str">
            <v>5647-1</v>
          </cell>
          <cell r="B411">
            <v>41921</v>
          </cell>
          <cell r="C411" t="str">
            <v>2014</v>
          </cell>
          <cell r="D411" t="str">
            <v>Trudy Bell</v>
          </cell>
          <cell r="E411" t="str">
            <v>Macquarie Centre Cnr Herring Road &amp; Waterloo Road,Macquarie Park</v>
          </cell>
          <cell r="F411" t="str">
            <v>Sydney</v>
          </cell>
          <cell r="G411" t="str">
            <v>NSW</v>
          </cell>
          <cell r="H411" t="str">
            <v>Consumer</v>
          </cell>
          <cell r="I411" t="str">
            <v>Nicholas Fernandes</v>
          </cell>
          <cell r="J411" t="str">
            <v>High</v>
          </cell>
          <cell r="K411" t="str">
            <v>Apex Box Cutter Scissors</v>
          </cell>
          <cell r="L411" t="str">
            <v>Office Supplies</v>
          </cell>
          <cell r="M411" t="str">
            <v>Small Pack</v>
          </cell>
          <cell r="N411" t="str">
            <v>Regular Air</v>
          </cell>
          <cell r="O411">
            <v>41921</v>
          </cell>
          <cell r="P411">
            <v>4.1900000000000004</v>
          </cell>
          <cell r="Q411">
            <v>10.23</v>
          </cell>
          <cell r="R411">
            <v>6.04</v>
          </cell>
          <cell r="S411">
            <v>37</v>
          </cell>
          <cell r="T411">
            <v>378.51</v>
          </cell>
          <cell r="V411">
            <v>30.280799999999999</v>
          </cell>
          <cell r="W411">
            <v>348.22919999999999</v>
          </cell>
          <cell r="X411">
            <v>4.68</v>
          </cell>
          <cell r="Y411">
            <v>352.9092</v>
          </cell>
        </row>
        <row r="412">
          <cell r="A412" t="str">
            <v>5648-1</v>
          </cell>
          <cell r="B412">
            <v>41922</v>
          </cell>
          <cell r="C412" t="str">
            <v>2014</v>
          </cell>
          <cell r="D412" t="str">
            <v>Harold Dahlen</v>
          </cell>
          <cell r="E412" t="str">
            <v>53-55 Liverpool St,Sydney</v>
          </cell>
          <cell r="F412" t="str">
            <v>Sydney</v>
          </cell>
          <cell r="G412" t="str">
            <v>NSW</v>
          </cell>
          <cell r="H412" t="str">
            <v>Corporate</v>
          </cell>
          <cell r="I412" t="str">
            <v>Tina Carlton</v>
          </cell>
          <cell r="J412" t="str">
            <v>Low</v>
          </cell>
          <cell r="K412" t="str">
            <v>Artisan Reinforcements for Hole-Punch Pages</v>
          </cell>
          <cell r="L412" t="str">
            <v>Office Supplies</v>
          </cell>
          <cell r="M412" t="str">
            <v>Small Box</v>
          </cell>
          <cell r="N412" t="str">
            <v>Regular Air</v>
          </cell>
          <cell r="O412">
            <v>41929</v>
          </cell>
          <cell r="P412">
            <v>1.19</v>
          </cell>
          <cell r="Q412">
            <v>1.98</v>
          </cell>
          <cell r="R412">
            <v>0.79</v>
          </cell>
          <cell r="S412">
            <v>38</v>
          </cell>
          <cell r="T412">
            <v>75.239999999999995</v>
          </cell>
          <cell r="V412">
            <v>3.762</v>
          </cell>
          <cell r="W412">
            <v>71.477999999999994</v>
          </cell>
          <cell r="X412">
            <v>4.7699999999999996</v>
          </cell>
          <cell r="Y412">
            <v>76.24799999999999</v>
          </cell>
        </row>
        <row r="413">
          <cell r="A413" t="str">
            <v>5650-1</v>
          </cell>
          <cell r="B413">
            <v>41923</v>
          </cell>
          <cell r="C413" t="str">
            <v>2014</v>
          </cell>
          <cell r="D413" t="str">
            <v>Arthur Prichep</v>
          </cell>
          <cell r="E413" t="str">
            <v>14 Knebworth Avenue, Perth</v>
          </cell>
          <cell r="F413" t="str">
            <v>Sydney</v>
          </cell>
          <cell r="G413" t="str">
            <v>NSW</v>
          </cell>
          <cell r="H413" t="str">
            <v>Home Office</v>
          </cell>
          <cell r="I413" t="str">
            <v>Phoebe Gour</v>
          </cell>
          <cell r="J413" t="str">
            <v>Medium</v>
          </cell>
          <cell r="K413" t="str">
            <v>PastelOcean Color Pencil Set</v>
          </cell>
          <cell r="L413" t="str">
            <v>Office Supplies</v>
          </cell>
          <cell r="M413" t="str">
            <v>Wrap Bag</v>
          </cell>
          <cell r="N413" t="str">
            <v>Regular Air</v>
          </cell>
          <cell r="O413">
            <v>41923</v>
          </cell>
          <cell r="P413">
            <v>11.11</v>
          </cell>
          <cell r="Q413">
            <v>19.84</v>
          </cell>
          <cell r="R413">
            <v>8.73</v>
          </cell>
          <cell r="S413">
            <v>43</v>
          </cell>
          <cell r="T413">
            <v>853.12</v>
          </cell>
          <cell r="V413">
            <v>25.593599999999999</v>
          </cell>
          <cell r="W413">
            <v>827.52639999999997</v>
          </cell>
          <cell r="X413">
            <v>4.0999999999999996</v>
          </cell>
          <cell r="Y413">
            <v>831.62639999999999</v>
          </cell>
        </row>
        <row r="414">
          <cell r="A414" t="str">
            <v>5651-1</v>
          </cell>
          <cell r="B414">
            <v>41927</v>
          </cell>
          <cell r="C414" t="str">
            <v>2014</v>
          </cell>
          <cell r="D414" t="str">
            <v>Vicky Freymann</v>
          </cell>
          <cell r="E414" t="str">
            <v>501 George St,Sydney</v>
          </cell>
          <cell r="F414" t="str">
            <v>Sydney</v>
          </cell>
          <cell r="G414" t="str">
            <v>NSW</v>
          </cell>
          <cell r="H414" t="str">
            <v>Home Office</v>
          </cell>
          <cell r="I414" t="str">
            <v>Samantha Chairs</v>
          </cell>
          <cell r="J414" t="str">
            <v>Low</v>
          </cell>
          <cell r="K414" t="str">
            <v>Ames Color-File Green Diamond Border X-ray Mailers</v>
          </cell>
          <cell r="L414" t="str">
            <v>Office Supplies</v>
          </cell>
          <cell r="M414" t="str">
            <v>Small Box</v>
          </cell>
          <cell r="N414" t="str">
            <v>Express Air</v>
          </cell>
          <cell r="O414">
            <v>41931</v>
          </cell>
          <cell r="P414">
            <v>52.07</v>
          </cell>
          <cell r="Q414">
            <v>83.98</v>
          </cell>
          <cell r="R414">
            <v>31.910000000000004</v>
          </cell>
          <cell r="S414">
            <v>34</v>
          </cell>
          <cell r="T414">
            <v>2855.32</v>
          </cell>
          <cell r="V414">
            <v>171.3192</v>
          </cell>
          <cell r="W414">
            <v>2684.0008000000003</v>
          </cell>
          <cell r="X414">
            <v>5.01</v>
          </cell>
          <cell r="Y414">
            <v>2689.0108000000005</v>
          </cell>
        </row>
        <row r="415">
          <cell r="A415" t="str">
            <v>5653-1</v>
          </cell>
          <cell r="B415">
            <v>41928</v>
          </cell>
          <cell r="C415" t="str">
            <v>2014</v>
          </cell>
          <cell r="D415" t="str">
            <v>Patrick Jones</v>
          </cell>
          <cell r="E415" t="str">
            <v>221 Barkly St,St Kilda</v>
          </cell>
          <cell r="F415" t="str">
            <v>Melbourne</v>
          </cell>
          <cell r="G415" t="str">
            <v>VIC</v>
          </cell>
          <cell r="H415" t="str">
            <v>Home Office</v>
          </cell>
          <cell r="I415" t="str">
            <v>Yvette Biti</v>
          </cell>
          <cell r="J415" t="str">
            <v>Critical</v>
          </cell>
          <cell r="K415" t="str">
            <v>EcoTones Memo Sheets</v>
          </cell>
          <cell r="L415" t="str">
            <v>Office Supplies</v>
          </cell>
          <cell r="M415" t="str">
            <v>Wrap Bag</v>
          </cell>
          <cell r="N415" t="str">
            <v>Regular Air</v>
          </cell>
          <cell r="O415">
            <v>41929</v>
          </cell>
          <cell r="P415">
            <v>2.52</v>
          </cell>
          <cell r="Q415">
            <v>4</v>
          </cell>
          <cell r="R415">
            <v>1.48</v>
          </cell>
          <cell r="S415">
            <v>36</v>
          </cell>
          <cell r="T415">
            <v>144</v>
          </cell>
          <cell r="V415">
            <v>1.44</v>
          </cell>
          <cell r="W415">
            <v>142.56</v>
          </cell>
          <cell r="X415">
            <v>1.3</v>
          </cell>
          <cell r="Y415">
            <v>143.86000000000001</v>
          </cell>
        </row>
        <row r="416">
          <cell r="A416" t="str">
            <v>5655-1</v>
          </cell>
          <cell r="B416">
            <v>41929</v>
          </cell>
          <cell r="C416" t="str">
            <v>2014</v>
          </cell>
          <cell r="D416" t="str">
            <v>Sam Craven</v>
          </cell>
          <cell r="E416" t="str">
            <v>8 Rankins Lane ,Melbourne</v>
          </cell>
          <cell r="F416" t="str">
            <v>Melbourne</v>
          </cell>
          <cell r="G416" t="str">
            <v>VIC</v>
          </cell>
          <cell r="H416" t="str">
            <v>Home Office</v>
          </cell>
          <cell r="I416" t="str">
            <v>Connor Betts</v>
          </cell>
          <cell r="J416" t="str">
            <v>Medium</v>
          </cell>
          <cell r="K416" t="str">
            <v>Apex Straight Scissors</v>
          </cell>
          <cell r="L416" t="str">
            <v>Office Supplies</v>
          </cell>
          <cell r="M416" t="str">
            <v>Small Pack</v>
          </cell>
          <cell r="N416" t="str">
            <v>Regular Air</v>
          </cell>
          <cell r="O416">
            <v>41929</v>
          </cell>
          <cell r="P416">
            <v>5.19</v>
          </cell>
          <cell r="Q416">
            <v>12.98</v>
          </cell>
          <cell r="R416">
            <v>7.79</v>
          </cell>
          <cell r="S416">
            <v>11</v>
          </cell>
          <cell r="T416">
            <v>142.78</v>
          </cell>
          <cell r="V416">
            <v>11.4224</v>
          </cell>
          <cell r="W416">
            <v>131.35759999999999</v>
          </cell>
          <cell r="X416">
            <v>3.14</v>
          </cell>
          <cell r="Y416">
            <v>134.49759999999998</v>
          </cell>
        </row>
        <row r="417">
          <cell r="A417" t="str">
            <v>5655-2</v>
          </cell>
          <cell r="B417">
            <v>41929</v>
          </cell>
          <cell r="C417" t="str">
            <v>2014</v>
          </cell>
          <cell r="D417" t="str">
            <v>Sam Craven</v>
          </cell>
          <cell r="E417" t="str">
            <v>8 Rankins Lane ,Melbourne</v>
          </cell>
          <cell r="F417" t="str">
            <v>Melbourne</v>
          </cell>
          <cell r="G417" t="str">
            <v>VIC</v>
          </cell>
          <cell r="H417" t="str">
            <v>Home Office</v>
          </cell>
          <cell r="I417" t="str">
            <v>Connor Betts</v>
          </cell>
          <cell r="J417" t="str">
            <v>Medium</v>
          </cell>
          <cell r="K417" t="str">
            <v>EcoTones Memo Sheets</v>
          </cell>
          <cell r="L417" t="str">
            <v>Office Supplies</v>
          </cell>
          <cell r="M417" t="str">
            <v>Wrap Bag</v>
          </cell>
          <cell r="N417" t="str">
            <v>Regular Air</v>
          </cell>
          <cell r="O417">
            <v>41931</v>
          </cell>
          <cell r="P417">
            <v>2.52</v>
          </cell>
          <cell r="Q417">
            <v>4</v>
          </cell>
          <cell r="R417">
            <v>1.48</v>
          </cell>
          <cell r="S417">
            <v>19</v>
          </cell>
          <cell r="T417">
            <v>76</v>
          </cell>
          <cell r="V417">
            <v>0.76</v>
          </cell>
          <cell r="W417">
            <v>75.239999999999995</v>
          </cell>
          <cell r="X417">
            <v>1.3</v>
          </cell>
          <cell r="Y417">
            <v>76.539999999999992</v>
          </cell>
        </row>
        <row r="418">
          <cell r="A418" t="str">
            <v>5658-1</v>
          </cell>
          <cell r="B418">
            <v>41930</v>
          </cell>
          <cell r="C418" t="str">
            <v>2014</v>
          </cell>
          <cell r="D418" t="str">
            <v>Patrick Jones</v>
          </cell>
          <cell r="E418" t="str">
            <v>221 Barkly St,St Kilda</v>
          </cell>
          <cell r="F418" t="str">
            <v>Melbourne</v>
          </cell>
          <cell r="G418" t="str">
            <v>VIC</v>
          </cell>
          <cell r="H418" t="str">
            <v>Home Office</v>
          </cell>
          <cell r="I418" t="str">
            <v>Yvette Biti</v>
          </cell>
          <cell r="J418" t="str">
            <v>Not Specified</v>
          </cell>
          <cell r="K418" t="str">
            <v>Artisan 48 Labels</v>
          </cell>
          <cell r="L418" t="str">
            <v>Office Supplies</v>
          </cell>
          <cell r="M418" t="str">
            <v>Small Box</v>
          </cell>
          <cell r="N418" t="str">
            <v>Regular Air</v>
          </cell>
          <cell r="O418">
            <v>41932</v>
          </cell>
          <cell r="P418">
            <v>3.84</v>
          </cell>
          <cell r="Q418">
            <v>6.3</v>
          </cell>
          <cell r="R418">
            <v>2.46</v>
          </cell>
          <cell r="S418">
            <v>8</v>
          </cell>
          <cell r="T418">
            <v>50.4</v>
          </cell>
          <cell r="V418">
            <v>0.504</v>
          </cell>
          <cell r="W418">
            <v>49.896000000000001</v>
          </cell>
          <cell r="X418">
            <v>0.5</v>
          </cell>
          <cell r="Y418">
            <v>50.396000000000001</v>
          </cell>
        </row>
        <row r="419">
          <cell r="A419" t="str">
            <v>5659-1</v>
          </cell>
          <cell r="B419">
            <v>41931</v>
          </cell>
          <cell r="C419" t="str">
            <v>2014</v>
          </cell>
          <cell r="D419" t="str">
            <v>Barry Franz</v>
          </cell>
          <cell r="E419" t="str">
            <v>65 Palmerston Street, Perth</v>
          </cell>
          <cell r="F419" t="str">
            <v>Melbourne</v>
          </cell>
          <cell r="G419" t="str">
            <v>VIC</v>
          </cell>
          <cell r="H419" t="str">
            <v>Corporate</v>
          </cell>
          <cell r="I419" t="str">
            <v>Yvette Biti</v>
          </cell>
          <cell r="J419" t="str">
            <v>High</v>
          </cell>
          <cell r="K419" t="str">
            <v>Beekin 6 Outlet Metallic Surge Strip</v>
          </cell>
          <cell r="L419" t="str">
            <v>Office Supplies</v>
          </cell>
          <cell r="M419" t="str">
            <v>Small Box</v>
          </cell>
          <cell r="N419" t="str">
            <v>Express Air</v>
          </cell>
          <cell r="O419">
            <v>41932</v>
          </cell>
          <cell r="P419">
            <v>4.46</v>
          </cell>
          <cell r="Q419">
            <v>10.89</v>
          </cell>
          <cell r="R419">
            <v>6.4300000000000006</v>
          </cell>
          <cell r="S419">
            <v>4</v>
          </cell>
          <cell r="T419">
            <v>43.56</v>
          </cell>
          <cell r="V419">
            <v>2.1780000000000004</v>
          </cell>
          <cell r="W419">
            <v>41.382000000000005</v>
          </cell>
          <cell r="X419">
            <v>4.5</v>
          </cell>
          <cell r="Y419">
            <v>45.882000000000005</v>
          </cell>
        </row>
        <row r="420">
          <cell r="A420" t="str">
            <v>5661-1</v>
          </cell>
          <cell r="B420">
            <v>41932</v>
          </cell>
          <cell r="C420" t="str">
            <v>2014</v>
          </cell>
          <cell r="D420" t="str">
            <v>George Ashbrook</v>
          </cell>
          <cell r="E420" t="str">
            <v>506 Swan Street,Richmond</v>
          </cell>
          <cell r="F420" t="str">
            <v>Melbourne</v>
          </cell>
          <cell r="G420" t="str">
            <v>VIC</v>
          </cell>
          <cell r="H420" t="str">
            <v>Small Business</v>
          </cell>
          <cell r="I420" t="str">
            <v>Connor Betts</v>
          </cell>
          <cell r="J420" t="str">
            <v>Not Specified</v>
          </cell>
          <cell r="K420" t="str">
            <v>TechSavi Access Keyboard</v>
          </cell>
          <cell r="L420" t="str">
            <v>Technology</v>
          </cell>
          <cell r="M420" t="str">
            <v>Small Box</v>
          </cell>
          <cell r="N420" t="str">
            <v>Regular Air</v>
          </cell>
          <cell r="O420">
            <v>41934</v>
          </cell>
          <cell r="P420">
            <v>8.31</v>
          </cell>
          <cell r="Q420">
            <v>15.98</v>
          </cell>
          <cell r="R420">
            <v>7.67</v>
          </cell>
          <cell r="S420">
            <v>38</v>
          </cell>
          <cell r="T420">
            <v>607.24</v>
          </cell>
          <cell r="V420">
            <v>60.724000000000004</v>
          </cell>
          <cell r="W420">
            <v>546.51599999999996</v>
          </cell>
          <cell r="X420">
            <v>6.5</v>
          </cell>
          <cell r="Y420">
            <v>553.01599999999996</v>
          </cell>
        </row>
        <row r="421">
          <cell r="A421" t="str">
            <v>5663-1</v>
          </cell>
          <cell r="B421">
            <v>41933</v>
          </cell>
          <cell r="C421" t="str">
            <v>2014</v>
          </cell>
          <cell r="D421" t="str">
            <v>Roger Demir</v>
          </cell>
          <cell r="E421" t="str">
            <v>2/86 Enmore Rd,Enmore</v>
          </cell>
          <cell r="F421" t="str">
            <v>Sydney</v>
          </cell>
          <cell r="G421" t="str">
            <v>NSW</v>
          </cell>
          <cell r="H421" t="str">
            <v>Consumer</v>
          </cell>
          <cell r="I421" t="str">
            <v>Samantha Chairs</v>
          </cell>
          <cell r="J421" t="str">
            <v>Not Specified</v>
          </cell>
          <cell r="K421" t="str">
            <v>Artisan Hi-Liter EverBold Pen Style Fluorescent Highlighters, 4/Pack</v>
          </cell>
          <cell r="L421" t="str">
            <v>Office Supplies</v>
          </cell>
          <cell r="M421" t="str">
            <v>Wrap Bag</v>
          </cell>
          <cell r="N421" t="str">
            <v>Regular Air</v>
          </cell>
          <cell r="O421">
            <v>41934</v>
          </cell>
          <cell r="P421">
            <v>4.4800000000000004</v>
          </cell>
          <cell r="Q421">
            <v>8.14</v>
          </cell>
          <cell r="R421">
            <v>3.66</v>
          </cell>
          <cell r="S421">
            <v>46</v>
          </cell>
          <cell r="T421">
            <v>374.44000000000005</v>
          </cell>
          <cell r="V421">
            <v>0</v>
          </cell>
          <cell r="W421">
            <v>374.44000000000005</v>
          </cell>
          <cell r="X421">
            <v>3.12</v>
          </cell>
          <cell r="Y421">
            <v>377.56000000000006</v>
          </cell>
        </row>
        <row r="422">
          <cell r="A422" t="str">
            <v>5665-1</v>
          </cell>
          <cell r="B422">
            <v>41933</v>
          </cell>
          <cell r="C422" t="str">
            <v>2014</v>
          </cell>
          <cell r="D422" t="str">
            <v>Philip Brown</v>
          </cell>
          <cell r="E422" t="str">
            <v>499-501 Lygon Street,Carlton North</v>
          </cell>
          <cell r="F422" t="str">
            <v>Melbourne</v>
          </cell>
          <cell r="G422" t="str">
            <v>VIC</v>
          </cell>
          <cell r="H422" t="str">
            <v>Corporate</v>
          </cell>
          <cell r="I422" t="str">
            <v>Yvette Biti</v>
          </cell>
          <cell r="J422" t="str">
            <v>Medium</v>
          </cell>
          <cell r="K422" t="str">
            <v>Smiths SlimLine Pencil Sharpener</v>
          </cell>
          <cell r="L422" t="str">
            <v>Office Supplies</v>
          </cell>
          <cell r="M422" t="str">
            <v>Small Pack</v>
          </cell>
          <cell r="N422" t="str">
            <v>Regular Air</v>
          </cell>
          <cell r="O422">
            <v>41933</v>
          </cell>
          <cell r="P422">
            <v>4.79</v>
          </cell>
          <cell r="Q422">
            <v>11.97</v>
          </cell>
          <cell r="R422">
            <v>7.1800000000000006</v>
          </cell>
          <cell r="S422">
            <v>8</v>
          </cell>
          <cell r="T422">
            <v>95.76</v>
          </cell>
          <cell r="V422">
            <v>2.8728000000000002</v>
          </cell>
          <cell r="W422">
            <v>92.887200000000007</v>
          </cell>
          <cell r="X422">
            <v>5.81</v>
          </cell>
          <cell r="Y422">
            <v>98.697200000000009</v>
          </cell>
        </row>
        <row r="423">
          <cell r="A423" t="str">
            <v>5667-1</v>
          </cell>
          <cell r="B423">
            <v>41934</v>
          </cell>
          <cell r="C423" t="str">
            <v>2014</v>
          </cell>
          <cell r="D423" t="str">
            <v>Kelly Collister</v>
          </cell>
          <cell r="E423" t="str">
            <v>499-501 Lygon Street,Carlton North</v>
          </cell>
          <cell r="F423" t="str">
            <v>Melbourne</v>
          </cell>
          <cell r="G423" t="str">
            <v>VIC</v>
          </cell>
          <cell r="H423" t="str">
            <v>Consumer</v>
          </cell>
          <cell r="I423" t="str">
            <v>Yvette Biti</v>
          </cell>
          <cell r="J423" t="str">
            <v>High</v>
          </cell>
          <cell r="K423" t="str">
            <v>3Max Organizer Strips</v>
          </cell>
          <cell r="L423" t="str">
            <v>Office Supplies</v>
          </cell>
          <cell r="M423" t="str">
            <v>Small Box</v>
          </cell>
          <cell r="N423" t="str">
            <v>Regular Air</v>
          </cell>
          <cell r="O423">
            <v>41935</v>
          </cell>
          <cell r="P423">
            <v>3.4</v>
          </cell>
          <cell r="Q423">
            <v>5.4</v>
          </cell>
          <cell r="R423">
            <v>2.0000000000000004</v>
          </cell>
          <cell r="S423">
            <v>22</v>
          </cell>
          <cell r="T423">
            <v>118.80000000000001</v>
          </cell>
          <cell r="V423">
            <v>11.880000000000003</v>
          </cell>
          <cell r="W423">
            <v>106.92000000000002</v>
          </cell>
          <cell r="X423">
            <v>7.78</v>
          </cell>
          <cell r="Y423">
            <v>114.70000000000002</v>
          </cell>
        </row>
        <row r="424">
          <cell r="A424" t="str">
            <v>5669-1</v>
          </cell>
          <cell r="B424">
            <v>41935</v>
          </cell>
          <cell r="C424" t="str">
            <v>2014</v>
          </cell>
          <cell r="D424" t="str">
            <v>Caroline Jumper</v>
          </cell>
          <cell r="E424" t="str">
            <v>145 Ramsay St,Haberfield</v>
          </cell>
          <cell r="F424" t="str">
            <v>Sydney</v>
          </cell>
          <cell r="G424" t="str">
            <v>NSW</v>
          </cell>
          <cell r="H424" t="str">
            <v>Corporate</v>
          </cell>
          <cell r="I424" t="str">
            <v>Phoebe Gour</v>
          </cell>
          <cell r="J424" t="str">
            <v>Not Specified</v>
          </cell>
          <cell r="K424" t="str">
            <v>Alto Perma 2700 Stacking Storage Drawers</v>
          </cell>
          <cell r="L424" t="str">
            <v>Office Supplies</v>
          </cell>
          <cell r="M424" t="str">
            <v>Small Box</v>
          </cell>
          <cell r="N424" t="str">
            <v>Regular Air</v>
          </cell>
          <cell r="O424">
            <v>41937</v>
          </cell>
          <cell r="P424">
            <v>8.92</v>
          </cell>
          <cell r="Q424">
            <v>29.74</v>
          </cell>
          <cell r="R424">
            <v>20.82</v>
          </cell>
          <cell r="S424">
            <v>19</v>
          </cell>
          <cell r="T424">
            <v>565.05999999999995</v>
          </cell>
          <cell r="V424">
            <v>56.506</v>
          </cell>
          <cell r="W424">
            <v>508.55399999999997</v>
          </cell>
          <cell r="X424">
            <v>6.64</v>
          </cell>
          <cell r="Y424">
            <v>515.19399999999996</v>
          </cell>
        </row>
        <row r="425">
          <cell r="A425" t="str">
            <v>5670-1</v>
          </cell>
          <cell r="B425">
            <v>41938</v>
          </cell>
          <cell r="C425" t="str">
            <v>2014</v>
          </cell>
          <cell r="D425" t="str">
            <v>Catherine Glotzbach</v>
          </cell>
          <cell r="E425" t="str">
            <v>188 Pitt Street,Sydney</v>
          </cell>
          <cell r="F425" t="str">
            <v>Sydney</v>
          </cell>
          <cell r="G425" t="str">
            <v>NSW</v>
          </cell>
          <cell r="H425" t="str">
            <v>Home Office</v>
          </cell>
          <cell r="I425" t="str">
            <v>Tina Carlton</v>
          </cell>
          <cell r="J425" t="str">
            <v>Medium</v>
          </cell>
          <cell r="K425" t="str">
            <v>Artisan Hanging File Binders</v>
          </cell>
          <cell r="L425" t="str">
            <v>Office Supplies</v>
          </cell>
          <cell r="M425" t="str">
            <v>Small Box</v>
          </cell>
          <cell r="N425" t="str">
            <v>Regular Air</v>
          </cell>
          <cell r="O425">
            <v>41939</v>
          </cell>
          <cell r="P425">
            <v>3.65</v>
          </cell>
          <cell r="Q425">
            <v>5.98</v>
          </cell>
          <cell r="R425">
            <v>2.3300000000000005</v>
          </cell>
          <cell r="S425">
            <v>19</v>
          </cell>
          <cell r="T425">
            <v>113.62</v>
          </cell>
          <cell r="V425">
            <v>1.1362000000000001</v>
          </cell>
          <cell r="W425">
            <v>112.4838</v>
          </cell>
          <cell r="X425">
            <v>1.49</v>
          </cell>
          <cell r="Y425">
            <v>113.9738</v>
          </cell>
        </row>
        <row r="426">
          <cell r="A426" t="str">
            <v>5671-1</v>
          </cell>
          <cell r="B426">
            <v>41939</v>
          </cell>
          <cell r="C426" t="str">
            <v>2014</v>
          </cell>
          <cell r="D426" t="str">
            <v>Mike Gockenbach</v>
          </cell>
          <cell r="E426" t="str">
            <v>180 High Street,Windsor</v>
          </cell>
          <cell r="F426" t="str">
            <v>Melbourne</v>
          </cell>
          <cell r="G426" t="str">
            <v>VIC</v>
          </cell>
          <cell r="H426" t="str">
            <v>Consumer</v>
          </cell>
          <cell r="I426" t="str">
            <v>Connor Betts</v>
          </cell>
          <cell r="J426" t="str">
            <v>Low</v>
          </cell>
          <cell r="K426" t="str">
            <v>Artisan Hi-Liter Pen Style Six-Color Fluorescent Set</v>
          </cell>
          <cell r="L426" t="str">
            <v>Office Supplies</v>
          </cell>
          <cell r="M426" t="str">
            <v>Wrap Bag</v>
          </cell>
          <cell r="N426" t="str">
            <v>Regular Air</v>
          </cell>
          <cell r="O426">
            <v>41943</v>
          </cell>
          <cell r="P426">
            <v>2.16</v>
          </cell>
          <cell r="Q426">
            <v>3.85</v>
          </cell>
          <cell r="R426">
            <v>1.69</v>
          </cell>
          <cell r="S426">
            <v>10</v>
          </cell>
          <cell r="T426">
            <v>38.5</v>
          </cell>
          <cell r="V426">
            <v>2.31</v>
          </cell>
          <cell r="W426">
            <v>36.19</v>
          </cell>
          <cell r="X426">
            <v>0.7</v>
          </cell>
          <cell r="Y426">
            <v>36.89</v>
          </cell>
        </row>
        <row r="427">
          <cell r="A427" t="str">
            <v>5672-1</v>
          </cell>
          <cell r="B427">
            <v>41940</v>
          </cell>
          <cell r="C427" t="str">
            <v>2014</v>
          </cell>
          <cell r="D427" t="str">
            <v>Eugene Moren</v>
          </cell>
          <cell r="E427" t="str">
            <v>14/76 Newcastle Street</v>
          </cell>
          <cell r="F427" t="str">
            <v>Perth</v>
          </cell>
          <cell r="G427" t="str">
            <v>WA</v>
          </cell>
          <cell r="H427" t="str">
            <v>Home Office</v>
          </cell>
          <cell r="I427" t="str">
            <v>Mihael Khan</v>
          </cell>
          <cell r="J427" t="str">
            <v>Medium</v>
          </cell>
          <cell r="K427" t="str">
            <v>TechSavi Cordless Keyboard</v>
          </cell>
          <cell r="L427" t="str">
            <v>Technology</v>
          </cell>
          <cell r="M427" t="str">
            <v>Small Box</v>
          </cell>
          <cell r="N427" t="str">
            <v>Regular Air</v>
          </cell>
          <cell r="O427">
            <v>41941</v>
          </cell>
          <cell r="P427">
            <v>17.84</v>
          </cell>
          <cell r="Q427">
            <v>34.99</v>
          </cell>
          <cell r="R427">
            <v>17.150000000000002</v>
          </cell>
          <cell r="S427">
            <v>29</v>
          </cell>
          <cell r="T427">
            <v>1014.71</v>
          </cell>
          <cell r="V427">
            <v>91.323899999999995</v>
          </cell>
          <cell r="W427">
            <v>923.38610000000006</v>
          </cell>
          <cell r="X427">
            <v>5.5</v>
          </cell>
          <cell r="Y427">
            <v>928.88610000000006</v>
          </cell>
        </row>
        <row r="428">
          <cell r="A428" t="str">
            <v>5674-1</v>
          </cell>
          <cell r="B428">
            <v>41941</v>
          </cell>
          <cell r="C428" t="str">
            <v>2014</v>
          </cell>
          <cell r="D428" t="str">
            <v>Brendan Murry</v>
          </cell>
          <cell r="E428" t="str">
            <v>2/797 Botany Rd,Rosebery</v>
          </cell>
          <cell r="F428" t="str">
            <v>Sydney</v>
          </cell>
          <cell r="G428" t="str">
            <v>NSW</v>
          </cell>
          <cell r="H428" t="str">
            <v>Corporate</v>
          </cell>
          <cell r="I428" t="str">
            <v>Samantha Chairs</v>
          </cell>
          <cell r="J428" t="str">
            <v>High</v>
          </cell>
          <cell r="K428" t="str">
            <v>Smiths SlimLine Pencil Sharpener</v>
          </cell>
          <cell r="L428" t="str">
            <v>Office Supplies</v>
          </cell>
          <cell r="M428" t="str">
            <v>Small Pack</v>
          </cell>
          <cell r="N428" t="str">
            <v>Regular Air</v>
          </cell>
          <cell r="O428">
            <v>41943</v>
          </cell>
          <cell r="P428">
            <v>4.79</v>
          </cell>
          <cell r="Q428">
            <v>11.97</v>
          </cell>
          <cell r="R428">
            <v>7.1800000000000006</v>
          </cell>
          <cell r="S428">
            <v>23</v>
          </cell>
          <cell r="T428">
            <v>275.31</v>
          </cell>
          <cell r="V428">
            <v>2.7530999999999999</v>
          </cell>
          <cell r="W428">
            <v>272.55689999999998</v>
          </cell>
          <cell r="X428">
            <v>5.81</v>
          </cell>
          <cell r="Y428">
            <v>278.36689999999999</v>
          </cell>
        </row>
        <row r="429">
          <cell r="A429" t="str">
            <v>5676-1</v>
          </cell>
          <cell r="B429">
            <v>41944</v>
          </cell>
          <cell r="C429" t="str">
            <v>2014</v>
          </cell>
          <cell r="D429" t="str">
            <v>John Murray</v>
          </cell>
          <cell r="E429" t="str">
            <v>Sydney Fish Market, Bank Street, Sydney</v>
          </cell>
          <cell r="F429" t="str">
            <v>Sydney</v>
          </cell>
          <cell r="G429" t="str">
            <v>NSW</v>
          </cell>
          <cell r="H429" t="str">
            <v>Small Business</v>
          </cell>
          <cell r="I429" t="str">
            <v>Phoebe Gour</v>
          </cell>
          <cell r="J429" t="str">
            <v>Not Specified</v>
          </cell>
          <cell r="K429" t="str">
            <v>Ames Color-File Green Diamond Border X-ray Mailers</v>
          </cell>
          <cell r="L429" t="str">
            <v>Office Supplies</v>
          </cell>
          <cell r="M429" t="str">
            <v>Small Box</v>
          </cell>
          <cell r="N429" t="str">
            <v>Regular Air</v>
          </cell>
          <cell r="O429">
            <v>41946</v>
          </cell>
          <cell r="P429">
            <v>52.07</v>
          </cell>
          <cell r="Q429">
            <v>83.98</v>
          </cell>
          <cell r="R429">
            <v>31.910000000000004</v>
          </cell>
          <cell r="S429">
            <v>24</v>
          </cell>
          <cell r="T429">
            <v>2015.52</v>
          </cell>
          <cell r="V429">
            <v>100.77600000000001</v>
          </cell>
          <cell r="W429">
            <v>1914.7439999999999</v>
          </cell>
          <cell r="X429">
            <v>5.01</v>
          </cell>
          <cell r="Y429">
            <v>1919.7539999999999</v>
          </cell>
        </row>
        <row r="430">
          <cell r="A430" t="str">
            <v>5677-1</v>
          </cell>
          <cell r="B430">
            <v>41945</v>
          </cell>
          <cell r="C430" t="str">
            <v>2014</v>
          </cell>
          <cell r="D430" t="str">
            <v>Lindsay Shagiari</v>
          </cell>
          <cell r="E430" t="str">
            <v>5/250 Old Northern Road ,Castle Hill</v>
          </cell>
          <cell r="F430" t="str">
            <v>Sydney</v>
          </cell>
          <cell r="G430" t="str">
            <v>NSW</v>
          </cell>
          <cell r="H430" t="str">
            <v>Home Office</v>
          </cell>
          <cell r="I430" t="str">
            <v>Nicholas Fernandes</v>
          </cell>
          <cell r="J430" t="str">
            <v>High</v>
          </cell>
          <cell r="K430" t="str">
            <v>Security-Tint Envelopes</v>
          </cell>
          <cell r="L430" t="str">
            <v>Office Supplies</v>
          </cell>
          <cell r="M430" t="str">
            <v>Small Box</v>
          </cell>
          <cell r="N430" t="str">
            <v>Regular Air</v>
          </cell>
          <cell r="O430">
            <v>41947</v>
          </cell>
          <cell r="P430">
            <v>4.8899999999999997</v>
          </cell>
          <cell r="Q430">
            <v>7.64</v>
          </cell>
          <cell r="R430">
            <v>2.75</v>
          </cell>
          <cell r="S430">
            <v>12</v>
          </cell>
          <cell r="T430">
            <v>91.679999999999993</v>
          </cell>
          <cell r="V430">
            <v>1.8335999999999999</v>
          </cell>
          <cell r="W430">
            <v>89.846399999999988</v>
          </cell>
          <cell r="X430">
            <v>1.39</v>
          </cell>
          <cell r="Y430">
            <v>91.236399999999989</v>
          </cell>
        </row>
        <row r="431">
          <cell r="A431" t="str">
            <v>5679-1</v>
          </cell>
          <cell r="B431">
            <v>41946</v>
          </cell>
          <cell r="C431" t="str">
            <v>2014</v>
          </cell>
          <cell r="D431" t="str">
            <v>Pete Armstrong</v>
          </cell>
          <cell r="E431" t="str">
            <v>506 Swan Street,Richmond</v>
          </cell>
          <cell r="F431" t="str">
            <v>Melbourne</v>
          </cell>
          <cell r="G431" t="str">
            <v>VIC</v>
          </cell>
          <cell r="H431" t="str">
            <v>Consumer</v>
          </cell>
          <cell r="I431" t="str">
            <v>Connor Betts</v>
          </cell>
          <cell r="J431" t="str">
            <v>Low</v>
          </cell>
          <cell r="K431" t="str">
            <v>EcoTones Memo Sheets</v>
          </cell>
          <cell r="L431" t="str">
            <v>Office Supplies</v>
          </cell>
          <cell r="M431" t="str">
            <v>Wrap Bag</v>
          </cell>
          <cell r="N431" t="str">
            <v>Regular Air</v>
          </cell>
          <cell r="O431">
            <v>41950</v>
          </cell>
          <cell r="P431">
            <v>2.52</v>
          </cell>
          <cell r="Q431">
            <v>4</v>
          </cell>
          <cell r="R431">
            <v>1.48</v>
          </cell>
          <cell r="S431">
            <v>32</v>
          </cell>
          <cell r="T431">
            <v>128</v>
          </cell>
          <cell r="V431">
            <v>11.52</v>
          </cell>
          <cell r="W431">
            <v>116.48</v>
          </cell>
          <cell r="X431">
            <v>1.3</v>
          </cell>
          <cell r="Y431">
            <v>117.78</v>
          </cell>
        </row>
        <row r="432">
          <cell r="A432" t="str">
            <v>5680-1</v>
          </cell>
          <cell r="B432">
            <v>41946</v>
          </cell>
          <cell r="C432" t="str">
            <v>2014</v>
          </cell>
          <cell r="D432" t="str">
            <v>Becky Castell</v>
          </cell>
          <cell r="E432" t="str">
            <v>27/580 Hay Street, Perth</v>
          </cell>
          <cell r="F432" t="str">
            <v>Sydney</v>
          </cell>
          <cell r="G432" t="str">
            <v>NSW</v>
          </cell>
          <cell r="H432" t="str">
            <v>Consumer</v>
          </cell>
          <cell r="I432" t="str">
            <v>Preston Senome</v>
          </cell>
          <cell r="J432" t="str">
            <v>Medium</v>
          </cell>
          <cell r="K432" t="str">
            <v>TechSavi Internet Navigator Keyboard</v>
          </cell>
          <cell r="L432" t="str">
            <v>Technology</v>
          </cell>
          <cell r="M432" t="str">
            <v>Small Box</v>
          </cell>
          <cell r="N432" t="str">
            <v>Regular Air</v>
          </cell>
          <cell r="O432">
            <v>41947</v>
          </cell>
          <cell r="P432">
            <v>6.51</v>
          </cell>
          <cell r="Q432">
            <v>30.98</v>
          </cell>
          <cell r="R432">
            <v>24.47</v>
          </cell>
          <cell r="S432">
            <v>12</v>
          </cell>
          <cell r="T432">
            <v>371.76</v>
          </cell>
          <cell r="V432">
            <v>0</v>
          </cell>
          <cell r="W432">
            <v>371.76</v>
          </cell>
          <cell r="X432">
            <v>6.5</v>
          </cell>
          <cell r="Y432">
            <v>378.26</v>
          </cell>
        </row>
        <row r="433">
          <cell r="A433" t="str">
            <v>5681-1</v>
          </cell>
          <cell r="B433">
            <v>41950</v>
          </cell>
          <cell r="C433" t="str">
            <v>2014</v>
          </cell>
          <cell r="D433" t="str">
            <v>Ritsa Hightower</v>
          </cell>
          <cell r="E433" t="str">
            <v>22 St Georges Terrace</v>
          </cell>
          <cell r="F433" t="str">
            <v>Perth</v>
          </cell>
          <cell r="G433" t="str">
            <v>WA</v>
          </cell>
          <cell r="H433" t="str">
            <v>Corporate</v>
          </cell>
          <cell r="I433" t="str">
            <v>Natasha Song</v>
          </cell>
          <cell r="J433" t="str">
            <v>Medium</v>
          </cell>
          <cell r="K433" t="str">
            <v>HFX LaserJet 3310 Copier</v>
          </cell>
          <cell r="L433" t="str">
            <v>Technology</v>
          </cell>
          <cell r="M433" t="str">
            <v>Large Box</v>
          </cell>
          <cell r="N433" t="str">
            <v>Express Air</v>
          </cell>
          <cell r="O433">
            <v>41952</v>
          </cell>
          <cell r="P433">
            <v>377.99</v>
          </cell>
          <cell r="Q433">
            <v>599.99</v>
          </cell>
          <cell r="R433">
            <v>222</v>
          </cell>
          <cell r="S433">
            <v>41</v>
          </cell>
          <cell r="T433">
            <v>24599.59</v>
          </cell>
          <cell r="V433">
            <v>1721.9713000000002</v>
          </cell>
          <cell r="W433">
            <v>22877.618699999999</v>
          </cell>
          <cell r="X433">
            <v>24.49</v>
          </cell>
          <cell r="Y433">
            <v>22902.108700000001</v>
          </cell>
        </row>
        <row r="434">
          <cell r="A434" t="str">
            <v>5682-1</v>
          </cell>
          <cell r="B434">
            <v>41953</v>
          </cell>
          <cell r="C434" t="str">
            <v>2014</v>
          </cell>
          <cell r="D434" t="str">
            <v>Toby Carlisle</v>
          </cell>
          <cell r="E434" t="str">
            <v>6/15 Cross Street,Double Bay</v>
          </cell>
          <cell r="F434" t="str">
            <v>Sydney</v>
          </cell>
          <cell r="G434" t="str">
            <v>NSW</v>
          </cell>
          <cell r="H434" t="str">
            <v>Home Office</v>
          </cell>
          <cell r="I434" t="str">
            <v>Leighton Forrest</v>
          </cell>
          <cell r="J434" t="str">
            <v>High</v>
          </cell>
          <cell r="K434" t="str">
            <v>HFX LaserJet 3310 Copier</v>
          </cell>
          <cell r="L434" t="str">
            <v>Technology</v>
          </cell>
          <cell r="M434" t="str">
            <v>Large Box</v>
          </cell>
          <cell r="N434" t="str">
            <v>Regular Air</v>
          </cell>
          <cell r="O434">
            <v>41955</v>
          </cell>
          <cell r="P434">
            <v>377.99</v>
          </cell>
          <cell r="Q434">
            <v>599.99</v>
          </cell>
          <cell r="R434">
            <v>222</v>
          </cell>
          <cell r="S434">
            <v>20</v>
          </cell>
          <cell r="T434">
            <v>11999.8</v>
          </cell>
          <cell r="V434">
            <v>839.98599999999999</v>
          </cell>
          <cell r="W434">
            <v>11159.813999999998</v>
          </cell>
          <cell r="X434">
            <v>24.49</v>
          </cell>
          <cell r="Y434">
            <v>11184.303999999998</v>
          </cell>
        </row>
        <row r="435">
          <cell r="A435" t="str">
            <v>5684-1</v>
          </cell>
          <cell r="B435">
            <v>41954</v>
          </cell>
          <cell r="C435" t="str">
            <v>2014</v>
          </cell>
          <cell r="D435" t="str">
            <v>Greg Hansen</v>
          </cell>
          <cell r="E435" t="str">
            <v>221 Barkly St,St Kilda</v>
          </cell>
          <cell r="F435" t="str">
            <v>Melbourne</v>
          </cell>
          <cell r="G435" t="str">
            <v>VIC</v>
          </cell>
          <cell r="H435" t="str">
            <v>Home Office</v>
          </cell>
          <cell r="I435" t="str">
            <v>Yvette Biti</v>
          </cell>
          <cell r="J435" t="str">
            <v>Critical</v>
          </cell>
          <cell r="K435" t="str">
            <v>Smiths Pushpins</v>
          </cell>
          <cell r="L435" t="str">
            <v>Office Supplies</v>
          </cell>
          <cell r="M435" t="str">
            <v>Wrap Bag</v>
          </cell>
          <cell r="N435" t="str">
            <v>Regular Air</v>
          </cell>
          <cell r="O435">
            <v>41955</v>
          </cell>
          <cell r="P435">
            <v>0.94</v>
          </cell>
          <cell r="Q435">
            <v>1.88</v>
          </cell>
          <cell r="R435">
            <v>0.94</v>
          </cell>
          <cell r="S435">
            <v>36</v>
          </cell>
          <cell r="T435">
            <v>67.679999999999993</v>
          </cell>
          <cell r="V435">
            <v>6.7679999999999998</v>
          </cell>
          <cell r="W435">
            <v>60.911999999999992</v>
          </cell>
          <cell r="X435">
            <v>0.79</v>
          </cell>
          <cell r="Y435">
            <v>61.701999999999991</v>
          </cell>
        </row>
        <row r="436">
          <cell r="A436" t="str">
            <v>5685-1</v>
          </cell>
          <cell r="B436">
            <v>41959</v>
          </cell>
          <cell r="C436" t="str">
            <v>2014</v>
          </cell>
          <cell r="D436" t="str">
            <v>Julia Dunbar</v>
          </cell>
          <cell r="E436" t="str">
            <v>3/265 Stirling Street</v>
          </cell>
          <cell r="F436" t="str">
            <v>Perth</v>
          </cell>
          <cell r="G436" t="str">
            <v>WA</v>
          </cell>
          <cell r="H436" t="str">
            <v>Consumer</v>
          </cell>
          <cell r="I436" t="str">
            <v>Phoebe Gour</v>
          </cell>
          <cell r="J436" t="str">
            <v>Not Specified</v>
          </cell>
          <cell r="K436" t="str">
            <v>300 Series Non-Flip</v>
          </cell>
          <cell r="L436" t="str">
            <v>Technology</v>
          </cell>
          <cell r="M436" t="str">
            <v>Small Box</v>
          </cell>
          <cell r="N436" t="str">
            <v>Regular Air</v>
          </cell>
          <cell r="O436">
            <v>41961</v>
          </cell>
          <cell r="P436">
            <v>62.4</v>
          </cell>
          <cell r="Q436">
            <v>155.99</v>
          </cell>
          <cell r="R436">
            <v>93.59</v>
          </cell>
          <cell r="S436">
            <v>6</v>
          </cell>
          <cell r="T436">
            <v>935.94</v>
          </cell>
          <cell r="V436">
            <v>18.718800000000002</v>
          </cell>
          <cell r="W436">
            <v>917.22120000000007</v>
          </cell>
          <cell r="X436">
            <v>8.08</v>
          </cell>
          <cell r="Y436">
            <v>925.30120000000011</v>
          </cell>
        </row>
        <row r="437">
          <cell r="A437" t="str">
            <v>5686-1</v>
          </cell>
          <cell r="B437">
            <v>41959</v>
          </cell>
          <cell r="C437" t="str">
            <v>2014</v>
          </cell>
          <cell r="D437" t="str">
            <v>Jill Stevenson</v>
          </cell>
          <cell r="E437" t="str">
            <v>181 Enmore Rd,Enmore</v>
          </cell>
          <cell r="F437" t="str">
            <v>Sydney</v>
          </cell>
          <cell r="G437" t="str">
            <v>NSW</v>
          </cell>
          <cell r="H437" t="str">
            <v>Consumer</v>
          </cell>
          <cell r="I437" t="str">
            <v>Radhya Staples</v>
          </cell>
          <cell r="J437" t="str">
            <v>Low</v>
          </cell>
          <cell r="K437" t="str">
            <v>Beekin 6 Outlet Metallic Surge Strip</v>
          </cell>
          <cell r="L437" t="str">
            <v>Office Supplies</v>
          </cell>
          <cell r="M437" t="str">
            <v>Small Box</v>
          </cell>
          <cell r="N437" t="str">
            <v>Regular Air</v>
          </cell>
          <cell r="O437">
            <v>41964</v>
          </cell>
          <cell r="P437">
            <v>4.46</v>
          </cell>
          <cell r="Q437">
            <v>10.89</v>
          </cell>
          <cell r="R437">
            <v>6.4300000000000006</v>
          </cell>
          <cell r="S437">
            <v>8</v>
          </cell>
          <cell r="T437">
            <v>87.12</v>
          </cell>
          <cell r="V437">
            <v>7.8407999999999998</v>
          </cell>
          <cell r="W437">
            <v>79.279200000000003</v>
          </cell>
          <cell r="X437">
            <v>4.5</v>
          </cell>
          <cell r="Y437">
            <v>83.779200000000003</v>
          </cell>
        </row>
        <row r="438">
          <cell r="A438" t="str">
            <v>5687-1</v>
          </cell>
          <cell r="B438">
            <v>41960</v>
          </cell>
          <cell r="C438" t="str">
            <v>2014</v>
          </cell>
          <cell r="D438" t="str">
            <v>Giulietta Weimer</v>
          </cell>
          <cell r="E438" t="str">
            <v>48 Albion St,Surry Hills</v>
          </cell>
          <cell r="F438" t="str">
            <v>Sydney</v>
          </cell>
          <cell r="G438" t="str">
            <v>NSW</v>
          </cell>
          <cell r="H438" t="str">
            <v>Corporate</v>
          </cell>
          <cell r="I438" t="str">
            <v>Natasha Song</v>
          </cell>
          <cell r="J438" t="str">
            <v>High</v>
          </cell>
          <cell r="K438" t="str">
            <v>Binder Clips by OIC</v>
          </cell>
          <cell r="L438" t="str">
            <v>Office Supplies</v>
          </cell>
          <cell r="M438" t="str">
            <v>Wrap Bag</v>
          </cell>
          <cell r="N438" t="str">
            <v>Regular Air</v>
          </cell>
          <cell r="O438">
            <v>41962</v>
          </cell>
          <cell r="P438">
            <v>0.93</v>
          </cell>
          <cell r="Q438">
            <v>1.48</v>
          </cell>
          <cell r="R438">
            <v>0.54999999999999993</v>
          </cell>
          <cell r="S438">
            <v>28</v>
          </cell>
          <cell r="T438">
            <v>41.44</v>
          </cell>
          <cell r="V438">
            <v>1.6576</v>
          </cell>
          <cell r="W438">
            <v>39.782399999999996</v>
          </cell>
          <cell r="X438">
            <v>0.7</v>
          </cell>
          <cell r="Y438">
            <v>40.482399999999998</v>
          </cell>
        </row>
        <row r="439">
          <cell r="A439" t="str">
            <v>5689-1</v>
          </cell>
          <cell r="B439">
            <v>41961</v>
          </cell>
          <cell r="C439" t="str">
            <v>2014</v>
          </cell>
          <cell r="D439" t="str">
            <v>Jamie Kunitz</v>
          </cell>
          <cell r="E439" t="str">
            <v>Sydney Fish Market, Bank Street, Sydney</v>
          </cell>
          <cell r="F439" t="str">
            <v>Sydney</v>
          </cell>
          <cell r="G439" t="str">
            <v>NSW</v>
          </cell>
          <cell r="H439" t="str">
            <v>Corporate</v>
          </cell>
          <cell r="I439" t="str">
            <v>Phoebe Gour</v>
          </cell>
          <cell r="J439" t="str">
            <v>Critical</v>
          </cell>
          <cell r="K439" t="str">
            <v>Steady Liquid Accent Tank-Style Highlighters</v>
          </cell>
          <cell r="L439" t="str">
            <v>Office Supplies</v>
          </cell>
          <cell r="M439" t="str">
            <v>Wrap Bag</v>
          </cell>
          <cell r="N439" t="str">
            <v>Regular Air</v>
          </cell>
          <cell r="O439">
            <v>41963</v>
          </cell>
          <cell r="P439">
            <v>1.31</v>
          </cell>
          <cell r="Q439">
            <v>2.84</v>
          </cell>
          <cell r="R439">
            <v>1.5299999999999998</v>
          </cell>
          <cell r="S439">
            <v>12</v>
          </cell>
          <cell r="T439">
            <v>34.08</v>
          </cell>
          <cell r="V439">
            <v>3.4079999999999999</v>
          </cell>
          <cell r="W439">
            <v>30.671999999999997</v>
          </cell>
          <cell r="X439">
            <v>0.93</v>
          </cell>
          <cell r="Y439">
            <v>31.601999999999997</v>
          </cell>
        </row>
        <row r="440">
          <cell r="A440" t="str">
            <v>5690-1</v>
          </cell>
          <cell r="B440">
            <v>41962</v>
          </cell>
          <cell r="C440" t="str">
            <v>2014</v>
          </cell>
          <cell r="D440" t="str">
            <v>Brendan Murry</v>
          </cell>
          <cell r="E440" t="str">
            <v>2/797 Botany Rd,Rosebery</v>
          </cell>
          <cell r="F440" t="str">
            <v>Sydney</v>
          </cell>
          <cell r="G440" t="str">
            <v>NSW</v>
          </cell>
          <cell r="H440" t="str">
            <v>Corporate</v>
          </cell>
          <cell r="I440" t="str">
            <v>Samantha Chairs</v>
          </cell>
          <cell r="J440" t="str">
            <v>Medium</v>
          </cell>
          <cell r="K440" t="str">
            <v>Economy Rollaway Files</v>
          </cell>
          <cell r="L440" t="str">
            <v>Office Supplies</v>
          </cell>
          <cell r="M440" t="str">
            <v>Small Box</v>
          </cell>
          <cell r="N440" t="str">
            <v>Express Air</v>
          </cell>
          <cell r="O440">
            <v>41964</v>
          </cell>
          <cell r="P440">
            <v>67.73</v>
          </cell>
          <cell r="Q440">
            <v>165.2</v>
          </cell>
          <cell r="R440">
            <v>97.469999999999985</v>
          </cell>
          <cell r="S440">
            <v>46</v>
          </cell>
          <cell r="T440">
            <v>7599.2</v>
          </cell>
          <cell r="V440">
            <v>151.98400000000001</v>
          </cell>
          <cell r="W440">
            <v>7447.2159999999994</v>
          </cell>
          <cell r="X440">
            <v>19.989999999999998</v>
          </cell>
          <cell r="Y440">
            <v>7467.2059999999992</v>
          </cell>
        </row>
        <row r="441">
          <cell r="A441" t="str">
            <v>5692-1</v>
          </cell>
          <cell r="B441">
            <v>41964</v>
          </cell>
          <cell r="C441" t="str">
            <v>2014</v>
          </cell>
          <cell r="D441" t="str">
            <v>Harold Ryan</v>
          </cell>
          <cell r="E441" t="str">
            <v>4A Lyons St,Strathfield</v>
          </cell>
          <cell r="F441" t="str">
            <v>Sydney</v>
          </cell>
          <cell r="G441" t="str">
            <v>NSW</v>
          </cell>
          <cell r="H441" t="str">
            <v>Home Office</v>
          </cell>
          <cell r="I441" t="str">
            <v>Tina Carlton</v>
          </cell>
          <cell r="J441" t="str">
            <v>Medium</v>
          </cell>
          <cell r="K441" t="str">
            <v>Adesso Programmable 142-Key Keyboard</v>
          </cell>
          <cell r="L441" t="str">
            <v>Technology</v>
          </cell>
          <cell r="M441" t="str">
            <v>Small Box</v>
          </cell>
          <cell r="N441" t="str">
            <v>Regular Air</v>
          </cell>
          <cell r="O441">
            <v>41966</v>
          </cell>
          <cell r="P441">
            <v>32.020000000000003</v>
          </cell>
          <cell r="Q441">
            <v>152.47999999999999</v>
          </cell>
          <cell r="R441">
            <v>120.45999999999998</v>
          </cell>
          <cell r="S441">
            <v>29</v>
          </cell>
          <cell r="T441">
            <v>4421.92</v>
          </cell>
          <cell r="V441">
            <v>397.97280000000001</v>
          </cell>
          <cell r="W441">
            <v>4023.9472000000001</v>
          </cell>
          <cell r="X441">
            <v>4</v>
          </cell>
          <cell r="Y441">
            <v>4027.9472000000001</v>
          </cell>
        </row>
        <row r="442">
          <cell r="A442" t="str">
            <v>5693-1</v>
          </cell>
          <cell r="B442">
            <v>41965</v>
          </cell>
          <cell r="C442" t="str">
            <v>2014</v>
          </cell>
          <cell r="D442" t="str">
            <v>Julia Barnett</v>
          </cell>
          <cell r="E442" t="str">
            <v>485 Crown St,Surry Hills</v>
          </cell>
          <cell r="F442" t="str">
            <v>Sydney</v>
          </cell>
          <cell r="G442" t="str">
            <v>NSW</v>
          </cell>
          <cell r="H442" t="str">
            <v>Home Office</v>
          </cell>
          <cell r="I442" t="str">
            <v>Leighton Forrest</v>
          </cell>
          <cell r="J442" t="str">
            <v>High</v>
          </cell>
          <cell r="K442" t="str">
            <v>Artisan Flip-Chart Easel Binder, Black</v>
          </cell>
          <cell r="L442" t="str">
            <v>Office Supplies</v>
          </cell>
          <cell r="M442" t="str">
            <v>Small Box</v>
          </cell>
          <cell r="N442" t="str">
            <v>Regular Air</v>
          </cell>
          <cell r="O442">
            <v>41965</v>
          </cell>
          <cell r="P442">
            <v>13.88</v>
          </cell>
          <cell r="Q442">
            <v>22.38</v>
          </cell>
          <cell r="R442">
            <v>8.4999999999999982</v>
          </cell>
          <cell r="S442">
            <v>10</v>
          </cell>
          <cell r="T442">
            <v>223.79999999999998</v>
          </cell>
          <cell r="V442">
            <v>2.238</v>
          </cell>
          <cell r="W442">
            <v>221.56199999999998</v>
          </cell>
          <cell r="X442">
            <v>15.1</v>
          </cell>
          <cell r="Y442">
            <v>236.66199999999998</v>
          </cell>
        </row>
        <row r="443">
          <cell r="A443" t="str">
            <v>5695-1</v>
          </cell>
          <cell r="B443">
            <v>41965</v>
          </cell>
          <cell r="C443" t="str">
            <v>2014</v>
          </cell>
          <cell r="D443" t="str">
            <v>Joseph Airdo</v>
          </cell>
          <cell r="E443" t="str">
            <v>Westfield Sydney,Sydney</v>
          </cell>
          <cell r="F443" t="str">
            <v>Sydney</v>
          </cell>
          <cell r="G443" t="str">
            <v>NSW</v>
          </cell>
          <cell r="H443" t="str">
            <v>Consumer</v>
          </cell>
          <cell r="I443" t="str">
            <v>Natasha Song</v>
          </cell>
          <cell r="J443" t="str">
            <v>Critical</v>
          </cell>
          <cell r="K443" t="str">
            <v>Steady Liquid Accent Tank-Style Highlighters</v>
          </cell>
          <cell r="L443" t="str">
            <v>Office Supplies</v>
          </cell>
          <cell r="M443" t="str">
            <v>Wrap Bag</v>
          </cell>
          <cell r="N443" t="str">
            <v>Regular Air</v>
          </cell>
          <cell r="O443">
            <v>41967</v>
          </cell>
          <cell r="P443">
            <v>1.31</v>
          </cell>
          <cell r="Q443">
            <v>2.84</v>
          </cell>
          <cell r="R443">
            <v>1.5299999999999998</v>
          </cell>
          <cell r="S443">
            <v>39</v>
          </cell>
          <cell r="T443">
            <v>110.75999999999999</v>
          </cell>
          <cell r="V443">
            <v>5.5380000000000003</v>
          </cell>
          <cell r="W443">
            <v>105.22199999999999</v>
          </cell>
          <cell r="X443">
            <v>0.93</v>
          </cell>
          <cell r="Y443">
            <v>106.152</v>
          </cell>
        </row>
        <row r="444">
          <cell r="A444" t="str">
            <v>5696-1</v>
          </cell>
          <cell r="B444">
            <v>41966</v>
          </cell>
          <cell r="C444" t="str">
            <v>2014</v>
          </cell>
          <cell r="D444" t="str">
            <v>Nicole Hansen</v>
          </cell>
          <cell r="E444" t="str">
            <v>184 King Street,Newtown</v>
          </cell>
          <cell r="F444" t="str">
            <v>Sydney</v>
          </cell>
          <cell r="G444" t="str">
            <v>NSW</v>
          </cell>
          <cell r="H444" t="str">
            <v>Small Business</v>
          </cell>
          <cell r="I444" t="str">
            <v>Charlie Bui</v>
          </cell>
          <cell r="J444" t="str">
            <v>Critical</v>
          </cell>
          <cell r="K444" t="str">
            <v>Alto Perma 2700 Stacking Storage Drawers</v>
          </cell>
          <cell r="L444" t="str">
            <v>Office Supplies</v>
          </cell>
          <cell r="M444" t="str">
            <v>Small Box</v>
          </cell>
          <cell r="N444" t="str">
            <v>Express Air</v>
          </cell>
          <cell r="O444">
            <v>41969</v>
          </cell>
          <cell r="P444">
            <v>8.92</v>
          </cell>
          <cell r="Q444">
            <v>29.74</v>
          </cell>
          <cell r="R444">
            <v>20.82</v>
          </cell>
          <cell r="S444">
            <v>34</v>
          </cell>
          <cell r="T444">
            <v>1011.16</v>
          </cell>
          <cell r="V444">
            <v>91.00439999999999</v>
          </cell>
          <cell r="W444">
            <v>920.15559999999994</v>
          </cell>
          <cell r="X444">
            <v>6.64</v>
          </cell>
          <cell r="Y444">
            <v>926.79559999999992</v>
          </cell>
        </row>
        <row r="445">
          <cell r="A445" t="str">
            <v>5698-1</v>
          </cell>
          <cell r="B445">
            <v>41966</v>
          </cell>
          <cell r="C445" t="str">
            <v>2014</v>
          </cell>
          <cell r="D445" t="str">
            <v>Giulietta Dortch</v>
          </cell>
          <cell r="E445" t="str">
            <v>180 High Street,Windsor</v>
          </cell>
          <cell r="F445" t="str">
            <v>Melbourne</v>
          </cell>
          <cell r="G445" t="str">
            <v>VIC</v>
          </cell>
          <cell r="H445" t="str">
            <v>Consumer</v>
          </cell>
          <cell r="I445" t="str">
            <v>Connor Betts</v>
          </cell>
          <cell r="J445" t="str">
            <v>Low</v>
          </cell>
          <cell r="K445" t="str">
            <v>Cando PC940 Copier</v>
          </cell>
          <cell r="L445" t="str">
            <v>Technology</v>
          </cell>
          <cell r="M445" t="str">
            <v>Jumbo Drum</v>
          </cell>
          <cell r="N445" t="str">
            <v>Delivery Truck</v>
          </cell>
          <cell r="O445">
            <v>41970</v>
          </cell>
          <cell r="P445">
            <v>278.99</v>
          </cell>
          <cell r="Q445">
            <v>449.99</v>
          </cell>
          <cell r="R445">
            <v>171</v>
          </cell>
          <cell r="S445">
            <v>34</v>
          </cell>
          <cell r="T445">
            <v>15299.66</v>
          </cell>
          <cell r="V445">
            <v>305.9932</v>
          </cell>
          <cell r="W445">
            <v>14993.666799999999</v>
          </cell>
          <cell r="X445">
            <v>49</v>
          </cell>
          <cell r="Y445">
            <v>15042.666799999999</v>
          </cell>
        </row>
        <row r="446">
          <cell r="A446" t="str">
            <v>5699-1</v>
          </cell>
          <cell r="B446">
            <v>41969</v>
          </cell>
          <cell r="C446" t="str">
            <v>2014</v>
          </cell>
          <cell r="D446" t="str">
            <v>Maurice Satty</v>
          </cell>
          <cell r="E446" t="str">
            <v>188 Pitt Street,Sydney</v>
          </cell>
          <cell r="F446" t="str">
            <v>Sydney</v>
          </cell>
          <cell r="G446" t="str">
            <v>NSW</v>
          </cell>
          <cell r="H446" t="str">
            <v>Corporate</v>
          </cell>
          <cell r="I446" t="str">
            <v>Tina Carlton</v>
          </cell>
          <cell r="J446" t="str">
            <v>High</v>
          </cell>
          <cell r="K446" t="str">
            <v>TechSavi Access Keyboard</v>
          </cell>
          <cell r="L446" t="str">
            <v>Technology</v>
          </cell>
          <cell r="M446" t="str">
            <v>Small Box</v>
          </cell>
          <cell r="N446" t="str">
            <v>Regular Air</v>
          </cell>
          <cell r="O446">
            <v>41971</v>
          </cell>
          <cell r="P446">
            <v>8.31</v>
          </cell>
          <cell r="Q446">
            <v>15.98</v>
          </cell>
          <cell r="R446">
            <v>7.67</v>
          </cell>
          <cell r="S446">
            <v>5</v>
          </cell>
          <cell r="T446">
            <v>79.900000000000006</v>
          </cell>
          <cell r="V446">
            <v>6.3920000000000003</v>
          </cell>
          <cell r="W446">
            <v>73.50800000000001</v>
          </cell>
          <cell r="X446">
            <v>6.5</v>
          </cell>
          <cell r="Y446">
            <v>80.00800000000001</v>
          </cell>
        </row>
        <row r="447">
          <cell r="A447" t="str">
            <v>5701-1</v>
          </cell>
          <cell r="B447">
            <v>41973</v>
          </cell>
          <cell r="C447" t="str">
            <v>2014</v>
          </cell>
          <cell r="D447" t="str">
            <v>Lena Creighton</v>
          </cell>
          <cell r="E447" t="str">
            <v>127 Liverpool St,Sydney</v>
          </cell>
          <cell r="F447" t="str">
            <v>Sydney</v>
          </cell>
          <cell r="G447" t="str">
            <v>NSW</v>
          </cell>
          <cell r="H447" t="str">
            <v>Home Office</v>
          </cell>
          <cell r="I447" t="str">
            <v>Samantha Chairs</v>
          </cell>
          <cell r="J447" t="str">
            <v>High</v>
          </cell>
          <cell r="K447" t="str">
            <v>Alto Memo Cubes</v>
          </cell>
          <cell r="L447" t="str">
            <v>Office Supplies</v>
          </cell>
          <cell r="M447" t="str">
            <v>Wrap Bag</v>
          </cell>
          <cell r="N447" t="str">
            <v>Express Air</v>
          </cell>
          <cell r="O447">
            <v>41975</v>
          </cell>
          <cell r="P447">
            <v>3.32</v>
          </cell>
          <cell r="Q447">
            <v>5.18</v>
          </cell>
          <cell r="R447">
            <v>1.8599999999999999</v>
          </cell>
          <cell r="S447">
            <v>9</v>
          </cell>
          <cell r="T447">
            <v>46.62</v>
          </cell>
          <cell r="V447">
            <v>4.1957999999999993</v>
          </cell>
          <cell r="W447">
            <v>42.424199999999999</v>
          </cell>
          <cell r="X447">
            <v>2.04</v>
          </cell>
          <cell r="Y447">
            <v>44.464199999999998</v>
          </cell>
        </row>
        <row r="448">
          <cell r="A448" t="str">
            <v>5702-1</v>
          </cell>
          <cell r="B448">
            <v>41974</v>
          </cell>
          <cell r="C448" t="str">
            <v>2014</v>
          </cell>
          <cell r="D448" t="str">
            <v>Ritsa Hightower</v>
          </cell>
          <cell r="E448" t="str">
            <v>22 St Georges Terrace</v>
          </cell>
          <cell r="F448" t="str">
            <v>Perth</v>
          </cell>
          <cell r="G448" t="str">
            <v>WA</v>
          </cell>
          <cell r="H448" t="str">
            <v>Corporate</v>
          </cell>
          <cell r="I448" t="str">
            <v>Natasha Song</v>
          </cell>
          <cell r="J448" t="str">
            <v>Low</v>
          </cell>
          <cell r="K448" t="str">
            <v>Fluorescent Highlighters by DrawIt</v>
          </cell>
          <cell r="L448" t="str">
            <v>Office Supplies</v>
          </cell>
          <cell r="M448" t="str">
            <v>Wrap Bag</v>
          </cell>
          <cell r="N448" t="str">
            <v>Express Air</v>
          </cell>
          <cell r="O448">
            <v>41978</v>
          </cell>
          <cell r="P448">
            <v>1.95</v>
          </cell>
          <cell r="Q448">
            <v>3.98</v>
          </cell>
          <cell r="R448">
            <v>2.0300000000000002</v>
          </cell>
          <cell r="S448">
            <v>4</v>
          </cell>
          <cell r="T448">
            <v>15.92</v>
          </cell>
          <cell r="V448">
            <v>0.31840000000000002</v>
          </cell>
          <cell r="W448">
            <v>15.601599999999999</v>
          </cell>
          <cell r="X448">
            <v>0.83</v>
          </cell>
          <cell r="Y448">
            <v>16.4316</v>
          </cell>
        </row>
        <row r="449">
          <cell r="A449" t="str">
            <v>5703-1</v>
          </cell>
          <cell r="B449">
            <v>41974</v>
          </cell>
          <cell r="C449" t="str">
            <v>2014</v>
          </cell>
          <cell r="D449" t="str">
            <v>Jesus Ocampo</v>
          </cell>
          <cell r="E449" t="str">
            <v>60 Commercial Rd,Prahran</v>
          </cell>
          <cell r="F449" t="str">
            <v>Melbourne</v>
          </cell>
          <cell r="G449" t="str">
            <v>VIC</v>
          </cell>
          <cell r="H449" t="str">
            <v>Small Business</v>
          </cell>
          <cell r="I449" t="str">
            <v>Yvette Biti</v>
          </cell>
          <cell r="J449" t="str">
            <v>Low</v>
          </cell>
          <cell r="K449" t="str">
            <v>Steady 52201 APSCO Electric Pencil Sharpener</v>
          </cell>
          <cell r="L449" t="str">
            <v>Office Supplies</v>
          </cell>
          <cell r="M449" t="str">
            <v>Small Pack</v>
          </cell>
          <cell r="N449" t="str">
            <v>Regular Air</v>
          </cell>
          <cell r="O449">
            <v>41981</v>
          </cell>
          <cell r="P449">
            <v>16.8</v>
          </cell>
          <cell r="Q449">
            <v>40.97</v>
          </cell>
          <cell r="R449">
            <v>24.169999999999998</v>
          </cell>
          <cell r="S449">
            <v>47</v>
          </cell>
          <cell r="T449">
            <v>1925.59</v>
          </cell>
          <cell r="V449">
            <v>77.023600000000002</v>
          </cell>
          <cell r="W449">
            <v>1848.5663999999999</v>
          </cell>
          <cell r="X449">
            <v>8.99</v>
          </cell>
          <cell r="Y449">
            <v>1857.5563999999999</v>
          </cell>
        </row>
        <row r="450">
          <cell r="A450" t="str">
            <v>5705-1</v>
          </cell>
          <cell r="B450">
            <v>41977</v>
          </cell>
          <cell r="C450" t="str">
            <v>2014</v>
          </cell>
          <cell r="D450" t="str">
            <v>Ed Braxton</v>
          </cell>
          <cell r="E450" t="str">
            <v>499-501 Lygon Street,Carlton North</v>
          </cell>
          <cell r="F450" t="str">
            <v>Melbourne</v>
          </cell>
          <cell r="G450" t="str">
            <v>VIC</v>
          </cell>
          <cell r="H450" t="str">
            <v>Home Office</v>
          </cell>
          <cell r="I450" t="str">
            <v>Yvette Biti</v>
          </cell>
          <cell r="J450" t="str">
            <v>Medium</v>
          </cell>
          <cell r="K450" t="str">
            <v>Multi-Use Personal File Cart and Caster Set, Three Stacking Bins</v>
          </cell>
          <cell r="L450" t="str">
            <v>Office Supplies</v>
          </cell>
          <cell r="M450" t="str">
            <v>Small Box</v>
          </cell>
          <cell r="N450" t="str">
            <v>Regular Air</v>
          </cell>
          <cell r="O450">
            <v>41978</v>
          </cell>
          <cell r="P450">
            <v>14.95</v>
          </cell>
          <cell r="Q450">
            <v>34.76</v>
          </cell>
          <cell r="R450">
            <v>19.809999999999999</v>
          </cell>
          <cell r="S450">
            <v>8</v>
          </cell>
          <cell r="T450">
            <v>278.08</v>
          </cell>
          <cell r="V450">
            <v>19.465600000000002</v>
          </cell>
          <cell r="W450">
            <v>258.61439999999999</v>
          </cell>
          <cell r="X450">
            <v>8.2200000000000006</v>
          </cell>
          <cell r="Y450">
            <v>266.83440000000002</v>
          </cell>
        </row>
        <row r="451">
          <cell r="A451" t="str">
            <v>5706-1</v>
          </cell>
          <cell r="B451">
            <v>41978</v>
          </cell>
          <cell r="C451" t="str">
            <v>2014</v>
          </cell>
          <cell r="D451" t="str">
            <v>Janet Martin</v>
          </cell>
          <cell r="E451" t="str">
            <v>24 Addison Rd,Marrickville</v>
          </cell>
          <cell r="F451" t="str">
            <v>Sydney</v>
          </cell>
          <cell r="G451" t="str">
            <v>NSW</v>
          </cell>
          <cell r="H451" t="str">
            <v>Corporate</v>
          </cell>
          <cell r="I451" t="str">
            <v>Radhya Staples</v>
          </cell>
          <cell r="J451" t="str">
            <v>Medium</v>
          </cell>
          <cell r="K451" t="str">
            <v>Colored Envelopes</v>
          </cell>
          <cell r="L451" t="str">
            <v>Office Supplies</v>
          </cell>
          <cell r="M451" t="str">
            <v>Small Box</v>
          </cell>
          <cell r="N451" t="str">
            <v>Express Air</v>
          </cell>
          <cell r="O451">
            <v>41979</v>
          </cell>
          <cell r="P451">
            <v>2.25</v>
          </cell>
          <cell r="Q451">
            <v>3.69</v>
          </cell>
          <cell r="R451">
            <v>1.44</v>
          </cell>
          <cell r="S451">
            <v>41</v>
          </cell>
          <cell r="T451">
            <v>151.29</v>
          </cell>
          <cell r="V451">
            <v>12.103199999999999</v>
          </cell>
          <cell r="W451">
            <v>139.18680000000001</v>
          </cell>
          <cell r="X451">
            <v>2.5</v>
          </cell>
          <cell r="Y451">
            <v>141.68680000000001</v>
          </cell>
        </row>
        <row r="452">
          <cell r="A452" t="str">
            <v>5708-1</v>
          </cell>
          <cell r="B452">
            <v>41979</v>
          </cell>
          <cell r="C452" t="str">
            <v>2014</v>
          </cell>
          <cell r="D452" t="str">
            <v>Vivek Gonzalez</v>
          </cell>
          <cell r="E452" t="str">
            <v>53 Riley Street,Woolloomooloo</v>
          </cell>
          <cell r="F452" t="str">
            <v>Sydney</v>
          </cell>
          <cell r="G452" t="str">
            <v>NSW</v>
          </cell>
          <cell r="H452" t="str">
            <v>Consumer</v>
          </cell>
          <cell r="I452" t="str">
            <v>Tina Carlton</v>
          </cell>
          <cell r="J452" t="str">
            <v>Not Specified</v>
          </cell>
          <cell r="K452" t="str">
            <v>Artisan Round Ring Poly Binders</v>
          </cell>
          <cell r="L452" t="str">
            <v>Office Supplies</v>
          </cell>
          <cell r="M452" t="str">
            <v>Small Box</v>
          </cell>
          <cell r="N452" t="str">
            <v>Express Air</v>
          </cell>
          <cell r="O452">
            <v>41981</v>
          </cell>
          <cell r="P452">
            <v>1.82</v>
          </cell>
          <cell r="Q452">
            <v>2.84</v>
          </cell>
          <cell r="R452">
            <v>1.0199999999999998</v>
          </cell>
          <cell r="S452">
            <v>21</v>
          </cell>
          <cell r="T452">
            <v>59.64</v>
          </cell>
          <cell r="V452">
            <v>0.59640000000000004</v>
          </cell>
          <cell r="W452">
            <v>59.043599999999998</v>
          </cell>
          <cell r="X452">
            <v>5.44</v>
          </cell>
          <cell r="Y452">
            <v>64.483599999999996</v>
          </cell>
        </row>
        <row r="453">
          <cell r="A453" t="str">
            <v>5710-1</v>
          </cell>
          <cell r="B453">
            <v>41981</v>
          </cell>
          <cell r="C453" t="str">
            <v>2014</v>
          </cell>
          <cell r="D453" t="str">
            <v>Robert Barroso</v>
          </cell>
          <cell r="E453" t="str">
            <v>163 Concord Road,North Strathfield</v>
          </cell>
          <cell r="F453" t="str">
            <v>Sydney</v>
          </cell>
          <cell r="G453" t="str">
            <v>NSW</v>
          </cell>
          <cell r="H453" t="str">
            <v>Small Business</v>
          </cell>
          <cell r="I453" t="str">
            <v>Charlie Bui</v>
          </cell>
          <cell r="J453" t="str">
            <v>High</v>
          </cell>
          <cell r="K453" t="str">
            <v>Deluxe Rollaway Locking File with Drawer</v>
          </cell>
          <cell r="L453" t="str">
            <v>Office Supplies</v>
          </cell>
          <cell r="M453" t="str">
            <v>Small Box</v>
          </cell>
          <cell r="N453" t="str">
            <v>Regular Air</v>
          </cell>
          <cell r="O453">
            <v>41983</v>
          </cell>
          <cell r="P453">
            <v>178.83</v>
          </cell>
          <cell r="Q453">
            <v>415.88</v>
          </cell>
          <cell r="R453">
            <v>237.04999999999998</v>
          </cell>
          <cell r="S453">
            <v>4</v>
          </cell>
          <cell r="T453">
            <v>1663.52</v>
          </cell>
          <cell r="V453">
            <v>49.9056</v>
          </cell>
          <cell r="W453">
            <v>1613.6143999999999</v>
          </cell>
          <cell r="X453">
            <v>11.37</v>
          </cell>
          <cell r="Y453">
            <v>1624.9843999999998</v>
          </cell>
        </row>
        <row r="454">
          <cell r="A454" t="str">
            <v>5711-1</v>
          </cell>
          <cell r="B454">
            <v>41982</v>
          </cell>
          <cell r="C454" t="str">
            <v>2014</v>
          </cell>
          <cell r="D454" t="str">
            <v>Linda Southworth</v>
          </cell>
          <cell r="E454" t="str">
            <v>359 Crown Street,Surry Hills</v>
          </cell>
          <cell r="F454" t="str">
            <v>Sydney</v>
          </cell>
          <cell r="G454" t="str">
            <v>NSW</v>
          </cell>
          <cell r="H454" t="str">
            <v>Consumer</v>
          </cell>
          <cell r="I454" t="str">
            <v>Phoebe Gour</v>
          </cell>
          <cell r="J454" t="str">
            <v>Medium</v>
          </cell>
          <cell r="K454" t="str">
            <v>Xit Blank Computer Paper</v>
          </cell>
          <cell r="L454" t="str">
            <v>Office Supplies</v>
          </cell>
          <cell r="M454" t="str">
            <v>Small Box</v>
          </cell>
          <cell r="N454" t="str">
            <v>Regular Air</v>
          </cell>
          <cell r="O454">
            <v>41984</v>
          </cell>
          <cell r="P454">
            <v>12.39</v>
          </cell>
          <cell r="Q454">
            <v>19.98</v>
          </cell>
          <cell r="R454">
            <v>7.59</v>
          </cell>
          <cell r="S454">
            <v>48</v>
          </cell>
          <cell r="T454">
            <v>959.04</v>
          </cell>
          <cell r="V454">
            <v>9.5904000000000007</v>
          </cell>
          <cell r="W454">
            <v>949.44959999999992</v>
          </cell>
          <cell r="X454">
            <v>5.77</v>
          </cell>
          <cell r="Y454">
            <v>955.2195999999999</v>
          </cell>
        </row>
        <row r="455">
          <cell r="A455" t="str">
            <v>5712-1</v>
          </cell>
          <cell r="B455">
            <v>41983</v>
          </cell>
          <cell r="C455" t="str">
            <v>2014</v>
          </cell>
          <cell r="D455" t="str">
            <v>Bart Watters</v>
          </cell>
          <cell r="E455" t="str">
            <v>27/580 Hay Street, Perth</v>
          </cell>
          <cell r="F455" t="str">
            <v>Sydney</v>
          </cell>
          <cell r="G455" t="str">
            <v>NSW</v>
          </cell>
          <cell r="H455" t="str">
            <v>Corporate</v>
          </cell>
          <cell r="I455" t="str">
            <v>Nicholas Fernandes</v>
          </cell>
          <cell r="J455" t="str">
            <v>Not Specified</v>
          </cell>
          <cell r="K455" t="str">
            <v>Apex Box Cutter Scissors</v>
          </cell>
          <cell r="L455" t="str">
            <v>Office Supplies</v>
          </cell>
          <cell r="M455" t="str">
            <v>Small Pack</v>
          </cell>
          <cell r="N455" t="str">
            <v>Regular Air</v>
          </cell>
          <cell r="O455">
            <v>41984</v>
          </cell>
          <cell r="P455">
            <v>4.1900000000000004</v>
          </cell>
          <cell r="Q455">
            <v>10.23</v>
          </cell>
          <cell r="R455">
            <v>6.04</v>
          </cell>
          <cell r="S455">
            <v>46</v>
          </cell>
          <cell r="T455">
            <v>470.58000000000004</v>
          </cell>
          <cell r="V455">
            <v>4.7058000000000009</v>
          </cell>
          <cell r="W455">
            <v>465.87420000000003</v>
          </cell>
          <cell r="X455">
            <v>4.68</v>
          </cell>
          <cell r="Y455">
            <v>470.55420000000004</v>
          </cell>
        </row>
        <row r="456">
          <cell r="A456" t="str">
            <v>5713-1</v>
          </cell>
          <cell r="B456">
            <v>41983</v>
          </cell>
          <cell r="C456" t="str">
            <v>2014</v>
          </cell>
          <cell r="D456" t="str">
            <v>Marc Crier</v>
          </cell>
          <cell r="E456" t="str">
            <v>Westfield Sydney,Sydney</v>
          </cell>
          <cell r="F456" t="str">
            <v>Sydney</v>
          </cell>
          <cell r="G456" t="str">
            <v>NSW</v>
          </cell>
          <cell r="H456" t="str">
            <v>Corporate</v>
          </cell>
          <cell r="I456" t="str">
            <v>Natasha Song</v>
          </cell>
          <cell r="J456" t="str">
            <v>Low</v>
          </cell>
          <cell r="K456" t="str">
            <v>Laser Neon Mac Format Diskettes, 10/Pack</v>
          </cell>
          <cell r="L456" t="str">
            <v>Technology</v>
          </cell>
          <cell r="M456" t="str">
            <v>Small Pack</v>
          </cell>
          <cell r="N456" t="str">
            <v>Regular Air</v>
          </cell>
          <cell r="O456">
            <v>41985</v>
          </cell>
          <cell r="P456">
            <v>1.87</v>
          </cell>
          <cell r="Q456">
            <v>8.1199999999999992</v>
          </cell>
          <cell r="R456">
            <v>6.2499999999999991</v>
          </cell>
          <cell r="S456">
            <v>11</v>
          </cell>
          <cell r="T456">
            <v>89.32</v>
          </cell>
          <cell r="V456">
            <v>5.3591999999999995</v>
          </cell>
          <cell r="W456">
            <v>83.960799999999992</v>
          </cell>
          <cell r="X456">
            <v>2.83</v>
          </cell>
          <cell r="Y456">
            <v>86.79079999999999</v>
          </cell>
        </row>
        <row r="457">
          <cell r="A457" t="str">
            <v>5715-1</v>
          </cell>
          <cell r="B457">
            <v>41986</v>
          </cell>
          <cell r="C457" t="str">
            <v>2014</v>
          </cell>
          <cell r="D457" t="str">
            <v>Mike Kennedy</v>
          </cell>
          <cell r="E457" t="str">
            <v>99 Lygon Street,East Brunswick</v>
          </cell>
          <cell r="F457" t="str">
            <v>Melbourne</v>
          </cell>
          <cell r="G457" t="str">
            <v>VIC</v>
          </cell>
          <cell r="H457" t="str">
            <v>Corporate</v>
          </cell>
          <cell r="I457" t="str">
            <v>Connor Betts</v>
          </cell>
          <cell r="J457" t="str">
            <v>High</v>
          </cell>
          <cell r="K457" t="str">
            <v>Alto Parchment Paper, Assorted Colors</v>
          </cell>
          <cell r="L457" t="str">
            <v>Office Supplies</v>
          </cell>
          <cell r="M457" t="str">
            <v>Small Box</v>
          </cell>
          <cell r="N457" t="str">
            <v>Regular Air</v>
          </cell>
          <cell r="O457">
            <v>41988</v>
          </cell>
          <cell r="P457">
            <v>4.59</v>
          </cell>
          <cell r="Q457">
            <v>7.28</v>
          </cell>
          <cell r="R457">
            <v>2.6900000000000004</v>
          </cell>
          <cell r="S457">
            <v>36</v>
          </cell>
          <cell r="T457">
            <v>262.08</v>
          </cell>
          <cell r="V457">
            <v>13.103999999999999</v>
          </cell>
          <cell r="W457">
            <v>248.976</v>
          </cell>
          <cell r="X457">
            <v>11.15</v>
          </cell>
          <cell r="Y457">
            <v>260.12599999999998</v>
          </cell>
        </row>
        <row r="458">
          <cell r="A458" t="str">
            <v>5717-1</v>
          </cell>
          <cell r="B458">
            <v>41989</v>
          </cell>
          <cell r="C458" t="str">
            <v>2014</v>
          </cell>
          <cell r="D458" t="str">
            <v>Harry Greene</v>
          </cell>
          <cell r="E458" t="str">
            <v>470 Anzac Parade,Kingsford</v>
          </cell>
          <cell r="F458" t="str">
            <v>Sydney</v>
          </cell>
          <cell r="G458" t="str">
            <v>NSW</v>
          </cell>
          <cell r="H458" t="str">
            <v>Corporate</v>
          </cell>
          <cell r="I458" t="str">
            <v>Tina Carlton</v>
          </cell>
          <cell r="J458" t="str">
            <v>Medium</v>
          </cell>
          <cell r="K458" t="str">
            <v>Self-Adhesive Ring Binder Labels</v>
          </cell>
          <cell r="L458" t="str">
            <v>Office Supplies</v>
          </cell>
          <cell r="M458" t="str">
            <v>Small Box</v>
          </cell>
          <cell r="N458" t="str">
            <v>Regular Air</v>
          </cell>
          <cell r="O458">
            <v>41991</v>
          </cell>
          <cell r="P458">
            <v>2.1800000000000002</v>
          </cell>
          <cell r="Q458">
            <v>3.52</v>
          </cell>
          <cell r="R458">
            <v>1.3399999999999999</v>
          </cell>
          <cell r="S458">
            <v>23</v>
          </cell>
          <cell r="T458">
            <v>80.959999999999994</v>
          </cell>
          <cell r="V458">
            <v>5.6672000000000002</v>
          </cell>
          <cell r="W458">
            <v>75.2928</v>
          </cell>
          <cell r="X458">
            <v>6.83</v>
          </cell>
          <cell r="Y458">
            <v>82.122799999999998</v>
          </cell>
        </row>
        <row r="459">
          <cell r="A459" t="str">
            <v>5718-1</v>
          </cell>
          <cell r="B459">
            <v>41995</v>
          </cell>
          <cell r="C459" t="str">
            <v>2014</v>
          </cell>
          <cell r="D459" t="str">
            <v>Theone Pippenger</v>
          </cell>
          <cell r="E459" t="str">
            <v>188 Pitt Street,Sydney</v>
          </cell>
          <cell r="F459" t="str">
            <v>Sydney</v>
          </cell>
          <cell r="G459" t="str">
            <v>NSW</v>
          </cell>
          <cell r="H459" t="str">
            <v>Corporate</v>
          </cell>
          <cell r="I459" t="str">
            <v>Tina Carlton</v>
          </cell>
          <cell r="J459" t="str">
            <v>Medium</v>
          </cell>
          <cell r="K459" t="str">
            <v>Colored Push Pins</v>
          </cell>
          <cell r="L459" t="str">
            <v>Office Supplies</v>
          </cell>
          <cell r="M459" t="str">
            <v>Wrap Bag</v>
          </cell>
          <cell r="N459" t="str">
            <v>Regular Air</v>
          </cell>
          <cell r="O459">
            <v>41996</v>
          </cell>
          <cell r="P459">
            <v>0.92</v>
          </cell>
          <cell r="Q459">
            <v>1.81</v>
          </cell>
          <cell r="R459">
            <v>0.89</v>
          </cell>
          <cell r="S459">
            <v>48</v>
          </cell>
          <cell r="T459">
            <v>86.88</v>
          </cell>
          <cell r="V459">
            <v>8.6880000000000006</v>
          </cell>
          <cell r="W459">
            <v>78.191999999999993</v>
          </cell>
          <cell r="X459">
            <v>1.56</v>
          </cell>
          <cell r="Y459">
            <v>79.751999999999995</v>
          </cell>
        </row>
        <row r="460">
          <cell r="A460" t="str">
            <v>5719-1</v>
          </cell>
          <cell r="B460">
            <v>41998</v>
          </cell>
          <cell r="C460" t="str">
            <v>2014</v>
          </cell>
          <cell r="D460" t="str">
            <v>Brian Stugart</v>
          </cell>
          <cell r="E460" t="str">
            <v>88 Oxford St,Woollahra</v>
          </cell>
          <cell r="F460" t="str">
            <v>Sydney</v>
          </cell>
          <cell r="G460" t="str">
            <v>NSW</v>
          </cell>
          <cell r="H460" t="str">
            <v>Consumer</v>
          </cell>
          <cell r="I460" t="str">
            <v>Charlie Bui</v>
          </cell>
          <cell r="J460" t="str">
            <v>Medium</v>
          </cell>
          <cell r="K460" t="str">
            <v>Cando PC940 Copier</v>
          </cell>
          <cell r="L460" t="str">
            <v>Technology</v>
          </cell>
          <cell r="M460" t="str">
            <v>Large Box</v>
          </cell>
          <cell r="N460" t="str">
            <v>Regular Air</v>
          </cell>
          <cell r="O460">
            <v>42000</v>
          </cell>
          <cell r="P460">
            <v>216</v>
          </cell>
          <cell r="Q460">
            <v>449.99</v>
          </cell>
          <cell r="R460">
            <v>233.99</v>
          </cell>
          <cell r="S460">
            <v>10</v>
          </cell>
          <cell r="T460">
            <v>4499.8999999999996</v>
          </cell>
          <cell r="V460">
            <v>44.998999999999995</v>
          </cell>
          <cell r="W460">
            <v>4454.9009999999998</v>
          </cell>
          <cell r="X460">
            <v>24.49</v>
          </cell>
          <cell r="Y460">
            <v>4479.3909999999996</v>
          </cell>
        </row>
        <row r="461">
          <cell r="A461" t="str">
            <v>5720-1</v>
          </cell>
          <cell r="B461">
            <v>41999</v>
          </cell>
          <cell r="C461" t="str">
            <v>2014</v>
          </cell>
          <cell r="D461" t="str">
            <v>Arthur Gainer</v>
          </cell>
          <cell r="E461" t="str">
            <v>14/76 Newcastle Street, Perth</v>
          </cell>
          <cell r="F461" t="str">
            <v>Melbourne</v>
          </cell>
          <cell r="G461" t="str">
            <v>VIC</v>
          </cell>
          <cell r="H461" t="str">
            <v>Consumer</v>
          </cell>
          <cell r="I461" t="str">
            <v>Connor Betts</v>
          </cell>
          <cell r="J461" t="str">
            <v>High</v>
          </cell>
          <cell r="K461" t="str">
            <v>Smiths Metal Binder Clips</v>
          </cell>
          <cell r="L461" t="str">
            <v>Office Supplies</v>
          </cell>
          <cell r="M461" t="str">
            <v>Wrap Bag</v>
          </cell>
          <cell r="N461" t="str">
            <v>Regular Air</v>
          </cell>
          <cell r="O461">
            <v>42002</v>
          </cell>
          <cell r="P461">
            <v>1.6</v>
          </cell>
          <cell r="Q461">
            <v>2.62</v>
          </cell>
          <cell r="R461">
            <v>1.02</v>
          </cell>
          <cell r="S461">
            <v>37</v>
          </cell>
          <cell r="T461">
            <v>96.94</v>
          </cell>
          <cell r="V461">
            <v>0.96940000000000004</v>
          </cell>
          <cell r="W461">
            <v>95.970600000000005</v>
          </cell>
          <cell r="X461">
            <v>0.8</v>
          </cell>
          <cell r="Y461">
            <v>96.770600000000002</v>
          </cell>
        </row>
        <row r="462">
          <cell r="A462" t="str">
            <v>5721-1</v>
          </cell>
          <cell r="B462">
            <v>41999</v>
          </cell>
          <cell r="C462" t="str">
            <v>2014</v>
          </cell>
          <cell r="D462" t="str">
            <v>Greg Guthrie</v>
          </cell>
          <cell r="E462" t="str">
            <v>523 King St,Newtown</v>
          </cell>
          <cell r="F462" t="str">
            <v>Sydney</v>
          </cell>
          <cell r="G462" t="str">
            <v>NSW</v>
          </cell>
          <cell r="H462" t="str">
            <v>Small Business</v>
          </cell>
          <cell r="I462" t="str">
            <v>Aanya Zhang</v>
          </cell>
          <cell r="J462" t="str">
            <v>High</v>
          </cell>
          <cell r="K462" t="str">
            <v>Smiths Standard Envelopes</v>
          </cell>
          <cell r="L462" t="str">
            <v>Office Supplies</v>
          </cell>
          <cell r="M462" t="str">
            <v>Small Box</v>
          </cell>
          <cell r="N462" t="str">
            <v>Regular Air</v>
          </cell>
          <cell r="O462">
            <v>42002</v>
          </cell>
          <cell r="P462">
            <v>3.52</v>
          </cell>
          <cell r="Q462">
            <v>5.68</v>
          </cell>
          <cell r="R462">
            <v>2.1599999999999997</v>
          </cell>
          <cell r="S462">
            <v>42</v>
          </cell>
          <cell r="T462">
            <v>238.56</v>
          </cell>
          <cell r="V462">
            <v>11.928000000000001</v>
          </cell>
          <cell r="W462">
            <v>226.63200000000001</v>
          </cell>
          <cell r="X462">
            <v>1.39</v>
          </cell>
          <cell r="Y462">
            <v>228.02199999999999</v>
          </cell>
        </row>
        <row r="463">
          <cell r="A463" t="str">
            <v>5722-1</v>
          </cell>
          <cell r="B463">
            <v>42000</v>
          </cell>
          <cell r="C463" t="str">
            <v>2014</v>
          </cell>
          <cell r="D463" t="str">
            <v>Matthew Grinstein</v>
          </cell>
          <cell r="E463" t="str">
            <v>105 Pitt St,Sydney</v>
          </cell>
          <cell r="F463" t="str">
            <v>Sydney</v>
          </cell>
          <cell r="G463" t="str">
            <v>NSW</v>
          </cell>
          <cell r="H463" t="str">
            <v>Small Business</v>
          </cell>
          <cell r="I463" t="str">
            <v>Charlie Bui</v>
          </cell>
          <cell r="J463" t="str">
            <v>Critical</v>
          </cell>
          <cell r="K463" t="str">
            <v>Artisan 479 Labels</v>
          </cell>
          <cell r="L463" t="str">
            <v>Office Supplies</v>
          </cell>
          <cell r="M463" t="str">
            <v>Small Box</v>
          </cell>
          <cell r="N463" t="str">
            <v>Express Air</v>
          </cell>
          <cell r="O463">
            <v>42001</v>
          </cell>
          <cell r="P463">
            <v>1.59</v>
          </cell>
          <cell r="Q463">
            <v>2.61</v>
          </cell>
          <cell r="R463">
            <v>1.0199999999999998</v>
          </cell>
          <cell r="S463">
            <v>37</v>
          </cell>
          <cell r="T463">
            <v>96.57</v>
          </cell>
          <cell r="V463">
            <v>8.6912999999999982</v>
          </cell>
          <cell r="W463">
            <v>87.878699999999995</v>
          </cell>
          <cell r="X463">
            <v>0.5</v>
          </cell>
          <cell r="Y463">
            <v>88.378699999999995</v>
          </cell>
        </row>
        <row r="464">
          <cell r="A464" t="str">
            <v>5724-1</v>
          </cell>
          <cell r="B464">
            <v>42000</v>
          </cell>
          <cell r="C464" t="str">
            <v>2014</v>
          </cell>
          <cell r="D464" t="str">
            <v>Todd Boyes</v>
          </cell>
          <cell r="E464" t="str">
            <v>Westfield Miranda, 600 Kingsway,Miranda</v>
          </cell>
          <cell r="F464" t="str">
            <v>Sydney</v>
          </cell>
          <cell r="G464" t="str">
            <v>NSW</v>
          </cell>
          <cell r="H464" t="str">
            <v>Small Business</v>
          </cell>
          <cell r="I464" t="str">
            <v>Preston Senome</v>
          </cell>
          <cell r="J464" t="str">
            <v>High</v>
          </cell>
          <cell r="K464" t="str">
            <v>Multi-Use Personal File Cart and Caster Set, Three Stacking Bins</v>
          </cell>
          <cell r="L464" t="str">
            <v>Office Supplies</v>
          </cell>
          <cell r="M464" t="str">
            <v>Small Box</v>
          </cell>
          <cell r="N464" t="str">
            <v>Regular Air</v>
          </cell>
          <cell r="O464">
            <v>42000</v>
          </cell>
          <cell r="P464">
            <v>14.95</v>
          </cell>
          <cell r="Q464">
            <v>34.76</v>
          </cell>
          <cell r="R464">
            <v>19.809999999999999</v>
          </cell>
          <cell r="S464">
            <v>10</v>
          </cell>
          <cell r="T464">
            <v>347.59999999999997</v>
          </cell>
          <cell r="V464">
            <v>10.427999999999999</v>
          </cell>
          <cell r="W464">
            <v>337.17199999999997</v>
          </cell>
          <cell r="X464">
            <v>8.2200000000000006</v>
          </cell>
          <cell r="Y464">
            <v>345.392</v>
          </cell>
        </row>
        <row r="465">
          <cell r="A465" t="str">
            <v>5724-2</v>
          </cell>
          <cell r="B465">
            <v>42000</v>
          </cell>
          <cell r="C465" t="str">
            <v>2014</v>
          </cell>
          <cell r="D465" t="str">
            <v>Todd Boyes</v>
          </cell>
          <cell r="E465" t="str">
            <v>Westfield Miranda, 600 Kingsway,Miranda</v>
          </cell>
          <cell r="F465" t="str">
            <v>Sydney</v>
          </cell>
          <cell r="G465" t="str">
            <v>NSW</v>
          </cell>
          <cell r="H465" t="str">
            <v>Small Business</v>
          </cell>
          <cell r="I465" t="str">
            <v>Preston Senome</v>
          </cell>
          <cell r="J465" t="str">
            <v>High</v>
          </cell>
          <cell r="K465" t="str">
            <v>Smiths Bulldog Clip</v>
          </cell>
          <cell r="L465" t="str">
            <v>Office Supplies</v>
          </cell>
          <cell r="M465" t="str">
            <v>Wrap Bag</v>
          </cell>
          <cell r="N465" t="str">
            <v>Regular Air</v>
          </cell>
          <cell r="O465">
            <v>42002</v>
          </cell>
          <cell r="P465">
            <v>2.31</v>
          </cell>
          <cell r="Q465">
            <v>3.78</v>
          </cell>
          <cell r="R465">
            <v>1.4699999999999998</v>
          </cell>
          <cell r="S465">
            <v>41</v>
          </cell>
          <cell r="T465">
            <v>154.97999999999999</v>
          </cell>
          <cell r="V465">
            <v>3.0995999999999997</v>
          </cell>
          <cell r="W465">
            <v>151.88039999999998</v>
          </cell>
          <cell r="X465">
            <v>0.71</v>
          </cell>
          <cell r="Y465">
            <v>152.59039999999999</v>
          </cell>
        </row>
        <row r="466">
          <cell r="A466" t="str">
            <v>5728-1</v>
          </cell>
          <cell r="B466">
            <v>42001</v>
          </cell>
          <cell r="C466" t="str">
            <v>2014</v>
          </cell>
          <cell r="D466" t="str">
            <v>Charles Crestani</v>
          </cell>
          <cell r="E466" t="str">
            <v>Sydney Fish Market, Bank Street, Sydney</v>
          </cell>
          <cell r="F466" t="str">
            <v>Sydney</v>
          </cell>
          <cell r="G466" t="str">
            <v>NSW</v>
          </cell>
          <cell r="H466" t="str">
            <v>Consumer</v>
          </cell>
          <cell r="I466" t="str">
            <v>Phoebe Gour</v>
          </cell>
          <cell r="J466" t="str">
            <v>High</v>
          </cell>
          <cell r="K466" t="str">
            <v>Alto Perma 3000 Stacking Storage Drawers</v>
          </cell>
          <cell r="L466" t="str">
            <v>Office Supplies</v>
          </cell>
          <cell r="M466" t="str">
            <v>Small Box</v>
          </cell>
          <cell r="N466" t="str">
            <v>Regular Air</v>
          </cell>
          <cell r="O466">
            <v>42003</v>
          </cell>
          <cell r="P466">
            <v>7.13</v>
          </cell>
          <cell r="Q466">
            <v>20.98</v>
          </cell>
          <cell r="R466">
            <v>13.850000000000001</v>
          </cell>
          <cell r="S466">
            <v>47</v>
          </cell>
          <cell r="T466">
            <v>986.06000000000006</v>
          </cell>
          <cell r="V466">
            <v>9.8606000000000016</v>
          </cell>
          <cell r="W466">
            <v>976.19940000000008</v>
          </cell>
          <cell r="X466">
            <v>5.42</v>
          </cell>
          <cell r="Y466">
            <v>981.61940000000004</v>
          </cell>
        </row>
        <row r="467">
          <cell r="A467" t="str">
            <v>5730-1</v>
          </cell>
          <cell r="B467">
            <v>42001</v>
          </cell>
          <cell r="C467" t="str">
            <v>2014</v>
          </cell>
          <cell r="D467" t="str">
            <v>Tim Taslimi</v>
          </cell>
          <cell r="E467" t="str">
            <v>188 Pitt Street,Sydney</v>
          </cell>
          <cell r="F467" t="str">
            <v>Sydney</v>
          </cell>
          <cell r="G467" t="str">
            <v>NSW</v>
          </cell>
          <cell r="H467" t="str">
            <v>Corporate</v>
          </cell>
          <cell r="I467" t="str">
            <v>Tina Carlton</v>
          </cell>
          <cell r="J467" t="str">
            <v>Not Specified</v>
          </cell>
          <cell r="K467" t="str">
            <v>Desktop 3-Pocket Hot File</v>
          </cell>
          <cell r="L467" t="str">
            <v>Office Supplies</v>
          </cell>
          <cell r="M467" t="str">
            <v>Small Box</v>
          </cell>
          <cell r="N467" t="str">
            <v>Regular Air</v>
          </cell>
          <cell r="O467">
            <v>42001</v>
          </cell>
          <cell r="P467">
            <v>22.18</v>
          </cell>
          <cell r="Q467">
            <v>54.1</v>
          </cell>
          <cell r="R467">
            <v>31.92</v>
          </cell>
          <cell r="S467">
            <v>5</v>
          </cell>
          <cell r="T467">
            <v>270.5</v>
          </cell>
          <cell r="V467">
            <v>10.82</v>
          </cell>
          <cell r="W467">
            <v>259.68</v>
          </cell>
          <cell r="X467">
            <v>19.989999999999998</v>
          </cell>
          <cell r="Y467">
            <v>279.67</v>
          </cell>
        </row>
        <row r="468">
          <cell r="A468" t="str">
            <v>5731-1</v>
          </cell>
          <cell r="B468">
            <v>42003</v>
          </cell>
          <cell r="C468" t="str">
            <v>2014</v>
          </cell>
          <cell r="D468" t="str">
            <v>Christine Sundaresam</v>
          </cell>
          <cell r="E468" t="str">
            <v>7 Khartoum Rd,Macquarie Park</v>
          </cell>
          <cell r="F468" t="str">
            <v>Sydney</v>
          </cell>
          <cell r="G468" t="str">
            <v>NSW</v>
          </cell>
          <cell r="H468" t="str">
            <v>Small Business</v>
          </cell>
          <cell r="I468" t="str">
            <v>Preston Senome</v>
          </cell>
          <cell r="J468" t="str">
            <v>Not Specified</v>
          </cell>
          <cell r="K468" t="str">
            <v>Artisan Round Ring Poly Binders</v>
          </cell>
          <cell r="L468" t="str">
            <v>Office Supplies</v>
          </cell>
          <cell r="M468" t="str">
            <v>Small Box</v>
          </cell>
          <cell r="N468" t="str">
            <v>Regular Air</v>
          </cell>
          <cell r="O468">
            <v>42004</v>
          </cell>
          <cell r="P468">
            <v>1.82</v>
          </cell>
          <cell r="Q468">
            <v>2.84</v>
          </cell>
          <cell r="R468">
            <v>1.0199999999999998</v>
          </cell>
          <cell r="S468">
            <v>27</v>
          </cell>
          <cell r="T468">
            <v>76.679999999999993</v>
          </cell>
          <cell r="V468">
            <v>2.3003999999999998</v>
          </cell>
          <cell r="W468">
            <v>74.379599999999996</v>
          </cell>
          <cell r="X468">
            <v>5.44</v>
          </cell>
          <cell r="Y468">
            <v>79.819599999999994</v>
          </cell>
        </row>
        <row r="469">
          <cell r="A469" t="str">
            <v>5732-1</v>
          </cell>
          <cell r="B469">
            <v>42005</v>
          </cell>
          <cell r="C469" t="str">
            <v>2015</v>
          </cell>
          <cell r="D469" t="str">
            <v>Michael Oakman</v>
          </cell>
          <cell r="E469" t="str">
            <v>8 Rankins Lane ,Melbourne</v>
          </cell>
          <cell r="F469" t="str">
            <v>Melbourne</v>
          </cell>
          <cell r="G469" t="str">
            <v>VIC</v>
          </cell>
          <cell r="H469" t="str">
            <v>Small Business</v>
          </cell>
          <cell r="I469" t="str">
            <v>Connor Betts</v>
          </cell>
          <cell r="J469" t="str">
            <v>Not Specified</v>
          </cell>
          <cell r="K469" t="str">
            <v>Apex Design Stainless Steel Bent Scissors</v>
          </cell>
          <cell r="L469" t="str">
            <v>Office Supplies</v>
          </cell>
          <cell r="M469" t="str">
            <v>Small Pack</v>
          </cell>
          <cell r="N469" t="str">
            <v>Regular Air</v>
          </cell>
          <cell r="O469">
            <v>42007</v>
          </cell>
          <cell r="P469">
            <v>2.87</v>
          </cell>
          <cell r="Q469">
            <v>6.84</v>
          </cell>
          <cell r="R469">
            <v>3.9699999999999998</v>
          </cell>
          <cell r="S469">
            <v>35</v>
          </cell>
          <cell r="T469">
            <v>239.4</v>
          </cell>
          <cell r="V469">
            <v>2.3940000000000001</v>
          </cell>
          <cell r="W469">
            <v>237.006</v>
          </cell>
          <cell r="X469">
            <v>4.42</v>
          </cell>
          <cell r="Y469">
            <v>241.42599999999999</v>
          </cell>
        </row>
        <row r="470">
          <cell r="A470" t="str">
            <v>5734-1</v>
          </cell>
          <cell r="B470">
            <v>42006</v>
          </cell>
          <cell r="C470" t="str">
            <v>2015</v>
          </cell>
          <cell r="D470" t="str">
            <v>Ellis Ballard</v>
          </cell>
          <cell r="E470" t="str">
            <v>53-55 Liverpool St,Sydney</v>
          </cell>
          <cell r="F470" t="str">
            <v>Sydney</v>
          </cell>
          <cell r="G470" t="str">
            <v>NSW</v>
          </cell>
          <cell r="H470" t="str">
            <v>Corporate</v>
          </cell>
          <cell r="I470" t="str">
            <v>Tina Carlton</v>
          </cell>
          <cell r="J470" t="str">
            <v>Low</v>
          </cell>
          <cell r="K470" t="str">
            <v>600 Series Non-Flip</v>
          </cell>
          <cell r="L470" t="str">
            <v>Technology</v>
          </cell>
          <cell r="M470" t="str">
            <v>Small Box</v>
          </cell>
          <cell r="N470" t="str">
            <v>Regular Air</v>
          </cell>
          <cell r="O470">
            <v>42008</v>
          </cell>
          <cell r="P470">
            <v>19.78</v>
          </cell>
          <cell r="Q470">
            <v>45.99</v>
          </cell>
          <cell r="R470">
            <v>26.21</v>
          </cell>
          <cell r="S470">
            <v>50</v>
          </cell>
          <cell r="T470">
            <v>2299.5</v>
          </cell>
          <cell r="V470">
            <v>0</v>
          </cell>
          <cell r="W470">
            <v>2299.5</v>
          </cell>
          <cell r="X470">
            <v>4.99</v>
          </cell>
          <cell r="Y470">
            <v>2304.4899999999998</v>
          </cell>
        </row>
        <row r="471">
          <cell r="A471" t="str">
            <v>5736-1</v>
          </cell>
          <cell r="B471">
            <v>42006</v>
          </cell>
          <cell r="C471" t="str">
            <v>2015</v>
          </cell>
          <cell r="D471" t="str">
            <v>Dave Hallsten</v>
          </cell>
          <cell r="E471" t="str">
            <v>1 John St,Waterloo</v>
          </cell>
          <cell r="F471" t="str">
            <v>Sydney</v>
          </cell>
          <cell r="G471" t="str">
            <v>NSW</v>
          </cell>
          <cell r="H471" t="str">
            <v>Home Office</v>
          </cell>
          <cell r="I471" t="str">
            <v>Charlie Bui</v>
          </cell>
          <cell r="J471" t="str">
            <v>Medium</v>
          </cell>
          <cell r="K471" t="str">
            <v>Col-Erase Pencils with Erasers</v>
          </cell>
          <cell r="L471" t="str">
            <v>Office Supplies</v>
          </cell>
          <cell r="M471" t="str">
            <v>Wrap Bag</v>
          </cell>
          <cell r="N471" t="str">
            <v>Regular Air</v>
          </cell>
          <cell r="O471">
            <v>42008</v>
          </cell>
          <cell r="P471">
            <v>2.68</v>
          </cell>
          <cell r="Q471">
            <v>6.08</v>
          </cell>
          <cell r="R471">
            <v>3.4</v>
          </cell>
          <cell r="S471">
            <v>30</v>
          </cell>
          <cell r="T471">
            <v>182.4</v>
          </cell>
          <cell r="V471">
            <v>7.2960000000000003</v>
          </cell>
          <cell r="W471">
            <v>175.10400000000001</v>
          </cell>
          <cell r="X471">
            <v>1.17</v>
          </cell>
          <cell r="Y471">
            <v>176.274</v>
          </cell>
        </row>
        <row r="472">
          <cell r="A472" t="str">
            <v>5737-1</v>
          </cell>
          <cell r="B472">
            <v>42011</v>
          </cell>
          <cell r="C472" t="str">
            <v>2015</v>
          </cell>
          <cell r="D472" t="str">
            <v>Barry Franz</v>
          </cell>
          <cell r="E472" t="str">
            <v>65 Palmerston Street, Perth</v>
          </cell>
          <cell r="F472" t="str">
            <v>Melbourne</v>
          </cell>
          <cell r="G472" t="str">
            <v>VIC</v>
          </cell>
          <cell r="H472" t="str">
            <v>Corporate</v>
          </cell>
          <cell r="I472" t="str">
            <v>Yvette Biti</v>
          </cell>
          <cell r="J472" t="str">
            <v>Medium</v>
          </cell>
          <cell r="K472" t="str">
            <v>Artisan Printable Repositionable Plastic Tabs</v>
          </cell>
          <cell r="L472" t="str">
            <v>Office Supplies</v>
          </cell>
          <cell r="M472" t="str">
            <v>Small Box</v>
          </cell>
          <cell r="N472" t="str">
            <v>Regular Air</v>
          </cell>
          <cell r="O472">
            <v>42013</v>
          </cell>
          <cell r="P472">
            <v>5.33</v>
          </cell>
          <cell r="Q472">
            <v>8.6</v>
          </cell>
          <cell r="R472">
            <v>3.2699999999999996</v>
          </cell>
          <cell r="S472">
            <v>48</v>
          </cell>
          <cell r="T472">
            <v>412.79999999999995</v>
          </cell>
          <cell r="V472">
            <v>8.2559999999999985</v>
          </cell>
          <cell r="W472">
            <v>404.54399999999998</v>
          </cell>
          <cell r="X472">
            <v>6.19</v>
          </cell>
          <cell r="Y472">
            <v>410.73399999999998</v>
          </cell>
        </row>
        <row r="473">
          <cell r="A473" t="str">
            <v>5738-1</v>
          </cell>
          <cell r="B473">
            <v>42011</v>
          </cell>
          <cell r="C473" t="str">
            <v>2015</v>
          </cell>
          <cell r="D473" t="str">
            <v>Sarah Brown</v>
          </cell>
          <cell r="E473" t="str">
            <v>10 O'Connell St,Sydney</v>
          </cell>
          <cell r="F473" t="str">
            <v>Sydney</v>
          </cell>
          <cell r="G473" t="str">
            <v>NSW</v>
          </cell>
          <cell r="H473" t="str">
            <v>Consumer</v>
          </cell>
          <cell r="I473" t="str">
            <v>Aanya Zhang</v>
          </cell>
          <cell r="J473" t="str">
            <v>Not Specified</v>
          </cell>
          <cell r="K473" t="str">
            <v>Beekin 6 Outlet Metallic Surge Strip</v>
          </cell>
          <cell r="L473" t="str">
            <v>Office Supplies</v>
          </cell>
          <cell r="M473" t="str">
            <v>Small Box</v>
          </cell>
          <cell r="N473" t="str">
            <v>Express Air</v>
          </cell>
          <cell r="O473">
            <v>42013</v>
          </cell>
          <cell r="P473">
            <v>4.46</v>
          </cell>
          <cell r="Q473">
            <v>10.89</v>
          </cell>
          <cell r="R473">
            <v>6.4300000000000006</v>
          </cell>
          <cell r="S473">
            <v>37</v>
          </cell>
          <cell r="T473">
            <v>402.93</v>
          </cell>
          <cell r="V473">
            <v>0</v>
          </cell>
          <cell r="W473">
            <v>402.93</v>
          </cell>
          <cell r="X473">
            <v>4.5</v>
          </cell>
          <cell r="Y473">
            <v>407.43</v>
          </cell>
        </row>
        <row r="474">
          <cell r="A474" t="str">
            <v>5740-1</v>
          </cell>
          <cell r="B474">
            <v>42013</v>
          </cell>
          <cell r="C474" t="str">
            <v>2015</v>
          </cell>
          <cell r="D474" t="str">
            <v>Katrina Willman</v>
          </cell>
          <cell r="E474" t="str">
            <v>120 Hardware St,Melbourne</v>
          </cell>
          <cell r="F474" t="str">
            <v>Melbourne</v>
          </cell>
          <cell r="G474" t="str">
            <v>VIC</v>
          </cell>
          <cell r="H474" t="str">
            <v>Consumer</v>
          </cell>
          <cell r="I474" t="str">
            <v>Yvette Biti</v>
          </cell>
          <cell r="J474" t="str">
            <v>High</v>
          </cell>
          <cell r="K474" t="str">
            <v>Assorted Color Push Pins</v>
          </cell>
          <cell r="L474" t="str">
            <v>Office Supplies</v>
          </cell>
          <cell r="M474" t="str">
            <v>Wrap Bag</v>
          </cell>
          <cell r="N474" t="str">
            <v>Regular Air</v>
          </cell>
          <cell r="O474">
            <v>42015</v>
          </cell>
          <cell r="P474">
            <v>0.87</v>
          </cell>
          <cell r="Q474">
            <v>1.81</v>
          </cell>
          <cell r="R474">
            <v>0.94000000000000006</v>
          </cell>
          <cell r="S474">
            <v>9</v>
          </cell>
          <cell r="T474">
            <v>16.29</v>
          </cell>
          <cell r="V474">
            <v>1.4661</v>
          </cell>
          <cell r="W474">
            <v>14.823899999999998</v>
          </cell>
          <cell r="X474">
            <v>0.75</v>
          </cell>
          <cell r="Y474">
            <v>15.573899999999998</v>
          </cell>
        </row>
        <row r="475">
          <cell r="A475" t="str">
            <v>5741-1</v>
          </cell>
          <cell r="B475">
            <v>42014</v>
          </cell>
          <cell r="C475" t="str">
            <v>2015</v>
          </cell>
          <cell r="D475" t="str">
            <v>Max Jones</v>
          </cell>
          <cell r="E475" t="str">
            <v>240-242 Johnston Street,Fitzroy</v>
          </cell>
          <cell r="F475" t="str">
            <v>Melbourne</v>
          </cell>
          <cell r="G475" t="str">
            <v>VIC</v>
          </cell>
          <cell r="H475" t="str">
            <v>Home Office</v>
          </cell>
          <cell r="I475" t="str">
            <v>Connor Betts</v>
          </cell>
          <cell r="J475" t="str">
            <v>Medium</v>
          </cell>
          <cell r="K475" t="str">
            <v>Artisan Flip-Chart Easel Binder, Black</v>
          </cell>
          <cell r="L475" t="str">
            <v>Office Supplies</v>
          </cell>
          <cell r="M475" t="str">
            <v>Small Box</v>
          </cell>
          <cell r="N475" t="str">
            <v>Regular Air</v>
          </cell>
          <cell r="O475">
            <v>42016</v>
          </cell>
          <cell r="P475">
            <v>13.88</v>
          </cell>
          <cell r="Q475">
            <v>22.38</v>
          </cell>
          <cell r="R475">
            <v>8.4999999999999982</v>
          </cell>
          <cell r="S475">
            <v>50</v>
          </cell>
          <cell r="T475">
            <v>1119</v>
          </cell>
          <cell r="V475">
            <v>78.330000000000013</v>
          </cell>
          <cell r="W475">
            <v>1040.67</v>
          </cell>
          <cell r="X475">
            <v>15.1</v>
          </cell>
          <cell r="Y475">
            <v>1055.77</v>
          </cell>
        </row>
        <row r="476">
          <cell r="A476" t="str">
            <v>5742-1</v>
          </cell>
          <cell r="B476">
            <v>42014</v>
          </cell>
          <cell r="C476" t="str">
            <v>2015</v>
          </cell>
          <cell r="D476" t="str">
            <v>Joy Smith</v>
          </cell>
          <cell r="E476" t="str">
            <v>221 Barkly St,St Kilda</v>
          </cell>
          <cell r="F476" t="str">
            <v>Melbourne</v>
          </cell>
          <cell r="G476" t="str">
            <v>VIC</v>
          </cell>
          <cell r="H476" t="str">
            <v>Consumer</v>
          </cell>
          <cell r="I476" t="str">
            <v>Yvette Biti</v>
          </cell>
          <cell r="J476" t="str">
            <v>Low</v>
          </cell>
          <cell r="K476" t="str">
            <v>Steady Liquid Accent Tank-Style Highlighters</v>
          </cell>
          <cell r="L476" t="str">
            <v>Office Supplies</v>
          </cell>
          <cell r="M476" t="str">
            <v>Wrap Bag</v>
          </cell>
          <cell r="N476" t="str">
            <v>Regular Air</v>
          </cell>
          <cell r="O476">
            <v>42014</v>
          </cell>
          <cell r="P476">
            <v>1.31</v>
          </cell>
          <cell r="Q476">
            <v>2.84</v>
          </cell>
          <cell r="R476">
            <v>1.5299999999999998</v>
          </cell>
          <cell r="S476">
            <v>21</v>
          </cell>
          <cell r="T476">
            <v>59.64</v>
          </cell>
          <cell r="V476">
            <v>0</v>
          </cell>
          <cell r="W476">
            <v>59.64</v>
          </cell>
          <cell r="X476">
            <v>0.93</v>
          </cell>
          <cell r="Y476">
            <v>60.57</v>
          </cell>
        </row>
        <row r="477">
          <cell r="A477" t="str">
            <v>5743-1</v>
          </cell>
          <cell r="B477">
            <v>42015</v>
          </cell>
          <cell r="C477" t="str">
            <v>2015</v>
          </cell>
          <cell r="D477" t="str">
            <v>Katherine Nockton</v>
          </cell>
          <cell r="E477" t="str">
            <v>Crown Complex,Southbank</v>
          </cell>
          <cell r="F477" t="str">
            <v>Melbourne</v>
          </cell>
          <cell r="G477" t="str">
            <v>VIC</v>
          </cell>
          <cell r="H477" t="str">
            <v>Corporate</v>
          </cell>
          <cell r="I477" t="str">
            <v>Yvette Biti</v>
          </cell>
          <cell r="J477" t="str">
            <v>Not Specified</v>
          </cell>
          <cell r="K477" t="str">
            <v>Laser DVD-RAM discs</v>
          </cell>
          <cell r="L477" t="str">
            <v>Technology</v>
          </cell>
          <cell r="M477" t="str">
            <v>Small Pack</v>
          </cell>
          <cell r="N477" t="str">
            <v>Regular Air</v>
          </cell>
          <cell r="O477">
            <v>42016</v>
          </cell>
          <cell r="P477">
            <v>20.18</v>
          </cell>
          <cell r="Q477">
            <v>35.409999999999997</v>
          </cell>
          <cell r="R477">
            <v>15.229999999999997</v>
          </cell>
          <cell r="S477">
            <v>1</v>
          </cell>
          <cell r="T477">
            <v>35.409999999999997</v>
          </cell>
          <cell r="V477">
            <v>0</v>
          </cell>
          <cell r="W477">
            <v>35.409999999999997</v>
          </cell>
          <cell r="X477">
            <v>1.99</v>
          </cell>
          <cell r="Y477">
            <v>37.4</v>
          </cell>
        </row>
        <row r="478">
          <cell r="A478" t="str">
            <v>5745-1</v>
          </cell>
          <cell r="B478">
            <v>42015</v>
          </cell>
          <cell r="C478" t="str">
            <v>2015</v>
          </cell>
          <cell r="D478" t="str">
            <v>Troy Blackwell</v>
          </cell>
          <cell r="E478" t="str">
            <v>3/219 Canley Vale Road,Canley Heights</v>
          </cell>
          <cell r="F478" t="str">
            <v>Sydney</v>
          </cell>
          <cell r="G478" t="str">
            <v>NSW</v>
          </cell>
          <cell r="H478" t="str">
            <v>Home Office</v>
          </cell>
          <cell r="I478" t="str">
            <v>Mihael Khan</v>
          </cell>
          <cell r="J478" t="str">
            <v>Not Specified</v>
          </cell>
          <cell r="K478" t="str">
            <v>Steady EarthWrite Recycled Pencils, Medium Soft, #2</v>
          </cell>
          <cell r="L478" t="str">
            <v>Office Supplies</v>
          </cell>
          <cell r="M478" t="str">
            <v>Wrap Bag</v>
          </cell>
          <cell r="N478" t="str">
            <v>Regular Air</v>
          </cell>
          <cell r="O478">
            <v>42017</v>
          </cell>
          <cell r="P478">
            <v>0.9</v>
          </cell>
          <cell r="Q478">
            <v>2.1</v>
          </cell>
          <cell r="R478">
            <v>1.2000000000000002</v>
          </cell>
          <cell r="S478">
            <v>23</v>
          </cell>
          <cell r="T478">
            <v>48.300000000000004</v>
          </cell>
          <cell r="V478">
            <v>2.8980000000000001</v>
          </cell>
          <cell r="W478">
            <v>45.402000000000001</v>
          </cell>
          <cell r="X478">
            <v>0.7</v>
          </cell>
          <cell r="Y478">
            <v>46.102000000000004</v>
          </cell>
        </row>
        <row r="479">
          <cell r="A479" t="str">
            <v>5747-1</v>
          </cell>
          <cell r="B479">
            <v>42016</v>
          </cell>
          <cell r="C479" t="str">
            <v>2015</v>
          </cell>
          <cell r="D479" t="str">
            <v>Jim Sink</v>
          </cell>
          <cell r="E479" t="str">
            <v>Westfield Miranda, 600 Kingsway,Miranda</v>
          </cell>
          <cell r="F479" t="str">
            <v>Sydney</v>
          </cell>
          <cell r="G479" t="str">
            <v>NSW</v>
          </cell>
          <cell r="H479" t="str">
            <v>Corporate</v>
          </cell>
          <cell r="I479" t="str">
            <v>Preston Senome</v>
          </cell>
          <cell r="J479" t="str">
            <v>Not Specified</v>
          </cell>
          <cell r="K479" t="str">
            <v>Smiths Standard Envelopes</v>
          </cell>
          <cell r="L479" t="str">
            <v>Office Supplies</v>
          </cell>
          <cell r="M479" t="str">
            <v>Small Box</v>
          </cell>
          <cell r="N479" t="str">
            <v>Regular Air</v>
          </cell>
          <cell r="O479">
            <v>42018</v>
          </cell>
          <cell r="P479">
            <v>3.52</v>
          </cell>
          <cell r="Q479">
            <v>5.68</v>
          </cell>
          <cell r="R479">
            <v>2.1599999999999997</v>
          </cell>
          <cell r="S479">
            <v>18</v>
          </cell>
          <cell r="T479">
            <v>102.24</v>
          </cell>
          <cell r="V479">
            <v>6.1343999999999994</v>
          </cell>
          <cell r="W479">
            <v>96.105599999999995</v>
          </cell>
          <cell r="X479">
            <v>1.39</v>
          </cell>
          <cell r="Y479">
            <v>97.495599999999996</v>
          </cell>
        </row>
        <row r="480">
          <cell r="A480" t="str">
            <v>5749-1</v>
          </cell>
          <cell r="B480">
            <v>42016</v>
          </cell>
          <cell r="C480" t="str">
            <v>2015</v>
          </cell>
          <cell r="D480" t="str">
            <v>Jenna Caffey</v>
          </cell>
          <cell r="E480" t="str">
            <v>470 Anzac Parade,Kingsford</v>
          </cell>
          <cell r="F480" t="str">
            <v>Sydney</v>
          </cell>
          <cell r="G480" t="str">
            <v>NSW</v>
          </cell>
          <cell r="H480" t="str">
            <v>Consumer</v>
          </cell>
          <cell r="I480" t="str">
            <v>Tina Carlton</v>
          </cell>
          <cell r="J480" t="str">
            <v>Critical</v>
          </cell>
          <cell r="K480" t="str">
            <v>Wirebound Voice Message Log Book</v>
          </cell>
          <cell r="L480" t="str">
            <v>Office Supplies</v>
          </cell>
          <cell r="M480" t="str">
            <v>Wrap Bag</v>
          </cell>
          <cell r="N480" t="str">
            <v>Regular Air</v>
          </cell>
          <cell r="O480">
            <v>42017</v>
          </cell>
          <cell r="P480">
            <v>2.9</v>
          </cell>
          <cell r="Q480">
            <v>4.76</v>
          </cell>
          <cell r="R480">
            <v>1.8599999999999999</v>
          </cell>
          <cell r="S480">
            <v>42</v>
          </cell>
          <cell r="T480">
            <v>199.92</v>
          </cell>
          <cell r="V480">
            <v>13.994400000000001</v>
          </cell>
          <cell r="W480">
            <v>185.92559999999997</v>
          </cell>
          <cell r="X480">
            <v>0.88</v>
          </cell>
          <cell r="Y480">
            <v>186.80559999999997</v>
          </cell>
        </row>
        <row r="481">
          <cell r="A481" t="str">
            <v>5750-1</v>
          </cell>
          <cell r="B481">
            <v>42017</v>
          </cell>
          <cell r="C481" t="str">
            <v>2015</v>
          </cell>
          <cell r="D481" t="str">
            <v>Stephanie Ulpright</v>
          </cell>
          <cell r="E481" t="str">
            <v>541 Church St ,Richmond</v>
          </cell>
          <cell r="F481" t="str">
            <v>Melbourne</v>
          </cell>
          <cell r="G481" t="str">
            <v>VIC</v>
          </cell>
          <cell r="H481" t="str">
            <v>Consumer</v>
          </cell>
          <cell r="I481" t="str">
            <v>Yvette Biti</v>
          </cell>
          <cell r="J481" t="str">
            <v>High</v>
          </cell>
          <cell r="K481" t="str">
            <v>Apex Design Stainless Steel Bent Scissors</v>
          </cell>
          <cell r="L481" t="str">
            <v>Office Supplies</v>
          </cell>
          <cell r="M481" t="str">
            <v>Small Pack</v>
          </cell>
          <cell r="N481" t="str">
            <v>Regular Air</v>
          </cell>
          <cell r="O481">
            <v>42018</v>
          </cell>
          <cell r="P481">
            <v>2.87</v>
          </cell>
          <cell r="Q481">
            <v>6.84</v>
          </cell>
          <cell r="R481">
            <v>3.9699999999999998</v>
          </cell>
          <cell r="S481">
            <v>26</v>
          </cell>
          <cell r="T481">
            <v>177.84</v>
          </cell>
          <cell r="V481">
            <v>14.2272</v>
          </cell>
          <cell r="W481">
            <v>163.61279999999999</v>
          </cell>
          <cell r="X481">
            <v>4.42</v>
          </cell>
          <cell r="Y481">
            <v>168.03279999999998</v>
          </cell>
        </row>
        <row r="482">
          <cell r="A482" t="str">
            <v>5752-1</v>
          </cell>
          <cell r="B482">
            <v>42017</v>
          </cell>
          <cell r="C482" t="str">
            <v>2015</v>
          </cell>
          <cell r="D482" t="str">
            <v>Max Jones</v>
          </cell>
          <cell r="E482" t="str">
            <v>240-242 Johnston Street,Fitzroy</v>
          </cell>
          <cell r="F482" t="str">
            <v>Melbourne</v>
          </cell>
          <cell r="G482" t="str">
            <v>VIC</v>
          </cell>
          <cell r="H482" t="str">
            <v>Home Office</v>
          </cell>
          <cell r="I482" t="str">
            <v>Connor Betts</v>
          </cell>
          <cell r="J482" t="str">
            <v>Not Specified</v>
          </cell>
          <cell r="K482" t="str">
            <v>Steady EarthWrite Recycled Pencils, Medium Soft, #2</v>
          </cell>
          <cell r="L482" t="str">
            <v>Office Supplies</v>
          </cell>
          <cell r="M482" t="str">
            <v>Wrap Bag</v>
          </cell>
          <cell r="N482" t="str">
            <v>Regular Air</v>
          </cell>
          <cell r="O482">
            <v>42019</v>
          </cell>
          <cell r="P482">
            <v>0.9</v>
          </cell>
          <cell r="Q482">
            <v>2.1</v>
          </cell>
          <cell r="R482">
            <v>1.2000000000000002</v>
          </cell>
          <cell r="S482">
            <v>34</v>
          </cell>
          <cell r="T482">
            <v>71.400000000000006</v>
          </cell>
          <cell r="V482">
            <v>1.4280000000000002</v>
          </cell>
          <cell r="W482">
            <v>69.972000000000008</v>
          </cell>
          <cell r="X482">
            <v>0.7</v>
          </cell>
          <cell r="Y482">
            <v>70.672000000000011</v>
          </cell>
        </row>
        <row r="483">
          <cell r="A483" t="str">
            <v>5754-1</v>
          </cell>
          <cell r="B483">
            <v>42018</v>
          </cell>
          <cell r="C483" t="str">
            <v>2015</v>
          </cell>
          <cell r="D483" t="str">
            <v>Maya Herman</v>
          </cell>
          <cell r="E483" t="str">
            <v>273 George Street,Sydney</v>
          </cell>
          <cell r="F483" t="str">
            <v>Sydney</v>
          </cell>
          <cell r="G483" t="str">
            <v>NSW</v>
          </cell>
          <cell r="H483" t="str">
            <v>Corporate</v>
          </cell>
          <cell r="I483" t="str">
            <v>Leighton Forrest</v>
          </cell>
          <cell r="J483" t="str">
            <v>Critical</v>
          </cell>
          <cell r="K483" t="str">
            <v>Artisan Flip-Chart Easel Binder, Black</v>
          </cell>
          <cell r="L483" t="str">
            <v>Office Supplies</v>
          </cell>
          <cell r="M483" t="str">
            <v>Small Box</v>
          </cell>
          <cell r="N483" t="str">
            <v>Regular Air</v>
          </cell>
          <cell r="O483">
            <v>42019</v>
          </cell>
          <cell r="P483">
            <v>13.88</v>
          </cell>
          <cell r="Q483">
            <v>22.38</v>
          </cell>
          <cell r="R483">
            <v>8.4999999999999982</v>
          </cell>
          <cell r="S483">
            <v>39</v>
          </cell>
          <cell r="T483">
            <v>872.81999999999994</v>
          </cell>
          <cell r="V483">
            <v>61.0974</v>
          </cell>
          <cell r="W483">
            <v>811.72259999999994</v>
          </cell>
          <cell r="X483">
            <v>15.1</v>
          </cell>
          <cell r="Y483">
            <v>826.82259999999997</v>
          </cell>
        </row>
        <row r="484">
          <cell r="A484" t="str">
            <v>5755-1</v>
          </cell>
          <cell r="B484">
            <v>42019</v>
          </cell>
          <cell r="C484" t="str">
            <v>2015</v>
          </cell>
          <cell r="D484" t="str">
            <v>Clay Rozendal</v>
          </cell>
          <cell r="E484" t="str">
            <v>8 Rankins Lane ,Melbourne</v>
          </cell>
          <cell r="F484" t="str">
            <v>Melbourne</v>
          </cell>
          <cell r="G484" t="str">
            <v>VIC</v>
          </cell>
          <cell r="H484" t="str">
            <v>Corporate</v>
          </cell>
          <cell r="I484" t="str">
            <v>Connor Betts</v>
          </cell>
          <cell r="J484" t="str">
            <v>Critical</v>
          </cell>
          <cell r="K484" t="str">
            <v>Artisan 474 Labels</v>
          </cell>
          <cell r="L484" t="str">
            <v>Office Supplies</v>
          </cell>
          <cell r="M484" t="str">
            <v>Small Box</v>
          </cell>
          <cell r="N484" t="str">
            <v>Regular Air</v>
          </cell>
          <cell r="O484">
            <v>42021</v>
          </cell>
          <cell r="P484">
            <v>1.84</v>
          </cell>
          <cell r="Q484">
            <v>2.88</v>
          </cell>
          <cell r="R484">
            <v>1.0399999999999998</v>
          </cell>
          <cell r="S484">
            <v>27</v>
          </cell>
          <cell r="T484">
            <v>77.759999999999991</v>
          </cell>
          <cell r="V484">
            <v>4.6655999999999995</v>
          </cell>
          <cell r="W484">
            <v>73.094399999999993</v>
          </cell>
          <cell r="X484">
            <v>0.99</v>
          </cell>
          <cell r="Y484">
            <v>74.084399999999988</v>
          </cell>
        </row>
        <row r="485">
          <cell r="A485" t="str">
            <v>5757-1</v>
          </cell>
          <cell r="B485">
            <v>42020</v>
          </cell>
          <cell r="C485" t="str">
            <v>2015</v>
          </cell>
          <cell r="D485" t="str">
            <v>Philip Brown</v>
          </cell>
          <cell r="E485" t="str">
            <v>499-501 Lygon Street,Carlton North</v>
          </cell>
          <cell r="F485" t="str">
            <v>Melbourne</v>
          </cell>
          <cell r="G485" t="str">
            <v>VIC</v>
          </cell>
          <cell r="H485" t="str">
            <v>Corporate</v>
          </cell>
          <cell r="I485" t="str">
            <v>Yvette Biti</v>
          </cell>
          <cell r="J485" t="str">
            <v>High</v>
          </cell>
          <cell r="K485" t="str">
            <v>Emerson Stylus 1520 Color Inkjet Printer</v>
          </cell>
          <cell r="L485" t="str">
            <v>Technology</v>
          </cell>
          <cell r="M485" t="str">
            <v>Jumbo Drum</v>
          </cell>
          <cell r="N485" t="str">
            <v>Delivery Truck</v>
          </cell>
          <cell r="O485">
            <v>42021</v>
          </cell>
          <cell r="P485">
            <v>315.61</v>
          </cell>
          <cell r="Q485">
            <v>500.97</v>
          </cell>
          <cell r="R485">
            <v>185.36</v>
          </cell>
          <cell r="S485">
            <v>37</v>
          </cell>
          <cell r="T485">
            <v>18535.89</v>
          </cell>
          <cell r="V485">
            <v>0</v>
          </cell>
          <cell r="W485">
            <v>18535.89</v>
          </cell>
          <cell r="X485">
            <v>69.3</v>
          </cell>
          <cell r="Y485">
            <v>18605.189999999999</v>
          </cell>
        </row>
        <row r="486">
          <cell r="A486" t="str">
            <v>5760-1</v>
          </cell>
          <cell r="B486">
            <v>42021</v>
          </cell>
          <cell r="C486" t="str">
            <v>2015</v>
          </cell>
          <cell r="D486" t="str">
            <v>Doug Jacobs</v>
          </cell>
          <cell r="E486" t="str">
            <v>1/160 Anzac Parade,Kensington</v>
          </cell>
          <cell r="F486" t="str">
            <v>Sydney</v>
          </cell>
          <cell r="G486" t="str">
            <v>NSW</v>
          </cell>
          <cell r="H486" t="str">
            <v>Home Office</v>
          </cell>
          <cell r="I486" t="str">
            <v>Natasha Song</v>
          </cell>
          <cell r="J486" t="str">
            <v>Medium</v>
          </cell>
          <cell r="K486" t="str">
            <v>Multimedia Mailers</v>
          </cell>
          <cell r="L486" t="str">
            <v>Office Supplies</v>
          </cell>
          <cell r="M486" t="str">
            <v>Small Box</v>
          </cell>
          <cell r="N486" t="str">
            <v>Express Air</v>
          </cell>
          <cell r="O486">
            <v>42023</v>
          </cell>
          <cell r="P486">
            <v>99.39</v>
          </cell>
          <cell r="Q486">
            <v>162.93</v>
          </cell>
          <cell r="R486">
            <v>63.540000000000006</v>
          </cell>
          <cell r="S486">
            <v>48</v>
          </cell>
          <cell r="T486">
            <v>7820.64</v>
          </cell>
          <cell r="V486">
            <v>312.82560000000001</v>
          </cell>
          <cell r="W486">
            <v>7507.8144000000002</v>
          </cell>
          <cell r="X486">
            <v>19.989999999999998</v>
          </cell>
          <cell r="Y486">
            <v>7527.8044</v>
          </cell>
        </row>
        <row r="487">
          <cell r="A487" t="str">
            <v>5762-1</v>
          </cell>
          <cell r="B487">
            <v>42024</v>
          </cell>
          <cell r="C487" t="str">
            <v>2015</v>
          </cell>
          <cell r="D487" t="str">
            <v>Saphhira Shifley</v>
          </cell>
          <cell r="E487" t="str">
            <v>Westfield Miranda, 600 Kingsway,Miranda</v>
          </cell>
          <cell r="F487" t="str">
            <v>Sydney</v>
          </cell>
          <cell r="G487" t="str">
            <v>NSW</v>
          </cell>
          <cell r="H487" t="str">
            <v>Consumer</v>
          </cell>
          <cell r="I487" t="str">
            <v>Preston Senome</v>
          </cell>
          <cell r="J487" t="str">
            <v>Not Specified</v>
          </cell>
          <cell r="K487" t="str">
            <v>Artisan Hi-Liter EverBold Pen Style Fluorescent Highlighters, 4/Pack</v>
          </cell>
          <cell r="L487" t="str">
            <v>Office Supplies</v>
          </cell>
          <cell r="M487" t="str">
            <v>Wrap Bag</v>
          </cell>
          <cell r="N487" t="str">
            <v>Regular Air</v>
          </cell>
          <cell r="O487">
            <v>42025</v>
          </cell>
          <cell r="P487">
            <v>4.4800000000000004</v>
          </cell>
          <cell r="Q487">
            <v>8.14</v>
          </cell>
          <cell r="R487">
            <v>3.66</v>
          </cell>
          <cell r="S487">
            <v>23</v>
          </cell>
          <cell r="T487">
            <v>187.22000000000003</v>
          </cell>
          <cell r="V487">
            <v>13.105400000000003</v>
          </cell>
          <cell r="W487">
            <v>174.11460000000002</v>
          </cell>
          <cell r="X487">
            <v>3.12</v>
          </cell>
          <cell r="Y487">
            <v>177.23460000000003</v>
          </cell>
        </row>
        <row r="488">
          <cell r="A488" t="str">
            <v>5762-2</v>
          </cell>
          <cell r="B488">
            <v>42024</v>
          </cell>
          <cell r="C488" t="str">
            <v>2015</v>
          </cell>
          <cell r="D488" t="str">
            <v>Saphhira Shifley</v>
          </cell>
          <cell r="E488" t="str">
            <v>Westfield Miranda, 600 Kingsway,Miranda</v>
          </cell>
          <cell r="F488" t="str">
            <v>Sydney</v>
          </cell>
          <cell r="G488" t="str">
            <v>NSW</v>
          </cell>
          <cell r="H488" t="str">
            <v>Consumer</v>
          </cell>
          <cell r="I488" t="str">
            <v>Preston Senome</v>
          </cell>
          <cell r="J488" t="str">
            <v>Not Specified</v>
          </cell>
          <cell r="K488" t="str">
            <v>Smiths General Use 3-Ring Binders</v>
          </cell>
          <cell r="L488" t="str">
            <v>Office Supplies</v>
          </cell>
          <cell r="M488" t="str">
            <v>Small Box</v>
          </cell>
          <cell r="N488" t="str">
            <v>Regular Air</v>
          </cell>
          <cell r="O488">
            <v>42025</v>
          </cell>
          <cell r="P488">
            <v>1.18</v>
          </cell>
          <cell r="Q488">
            <v>1.88</v>
          </cell>
          <cell r="R488">
            <v>0.7</v>
          </cell>
          <cell r="S488">
            <v>33</v>
          </cell>
          <cell r="T488">
            <v>62.04</v>
          </cell>
          <cell r="V488">
            <v>3.1020000000000003</v>
          </cell>
          <cell r="W488">
            <v>58.938000000000002</v>
          </cell>
          <cell r="X488">
            <v>1.49</v>
          </cell>
          <cell r="Y488">
            <v>60.428000000000004</v>
          </cell>
        </row>
        <row r="489">
          <cell r="A489" t="str">
            <v>5766-1</v>
          </cell>
          <cell r="B489">
            <v>42025</v>
          </cell>
          <cell r="C489" t="str">
            <v>2015</v>
          </cell>
          <cell r="D489" t="str">
            <v>Jennifer Braxton</v>
          </cell>
          <cell r="E489" t="str">
            <v>523 King St,Newtown</v>
          </cell>
          <cell r="F489" t="str">
            <v>Sydney</v>
          </cell>
          <cell r="G489" t="str">
            <v>NSW</v>
          </cell>
          <cell r="H489" t="str">
            <v>Small Business</v>
          </cell>
          <cell r="I489" t="str">
            <v>Aanya Zhang</v>
          </cell>
          <cell r="J489" t="str">
            <v>High</v>
          </cell>
          <cell r="K489" t="str">
            <v>Colored Envelopes</v>
          </cell>
          <cell r="L489" t="str">
            <v>Office Supplies</v>
          </cell>
          <cell r="M489" t="str">
            <v>Small Box</v>
          </cell>
          <cell r="N489" t="str">
            <v>Regular Air</v>
          </cell>
          <cell r="O489">
            <v>42027</v>
          </cell>
          <cell r="P489">
            <v>2.25</v>
          </cell>
          <cell r="Q489">
            <v>3.69</v>
          </cell>
          <cell r="R489">
            <v>1.44</v>
          </cell>
          <cell r="S489">
            <v>13</v>
          </cell>
          <cell r="T489">
            <v>47.97</v>
          </cell>
          <cell r="V489">
            <v>2.3985000000000003</v>
          </cell>
          <cell r="W489">
            <v>45.5715</v>
          </cell>
          <cell r="X489">
            <v>2.5</v>
          </cell>
          <cell r="Y489">
            <v>48.0715</v>
          </cell>
        </row>
        <row r="490">
          <cell r="A490" t="str">
            <v>5768-1</v>
          </cell>
          <cell r="B490">
            <v>42026</v>
          </cell>
          <cell r="C490" t="str">
            <v>2015</v>
          </cell>
          <cell r="D490" t="str">
            <v>Bill Donatelli</v>
          </cell>
          <cell r="E490" t="str">
            <v>8 Orange Street, Perth</v>
          </cell>
          <cell r="F490" t="str">
            <v>Perth</v>
          </cell>
          <cell r="G490" t="str">
            <v>WA</v>
          </cell>
          <cell r="H490" t="str">
            <v>Corporate</v>
          </cell>
          <cell r="I490" t="str">
            <v>Phoebe Gour</v>
          </cell>
          <cell r="J490" t="str">
            <v>Critical</v>
          </cell>
          <cell r="K490" t="str">
            <v>1726 Digital Answering Machine</v>
          </cell>
          <cell r="L490" t="str">
            <v>Technology</v>
          </cell>
          <cell r="M490" t="str">
            <v>Medium Box</v>
          </cell>
          <cell r="N490" t="str">
            <v>Regular Air</v>
          </cell>
          <cell r="O490">
            <v>42027</v>
          </cell>
          <cell r="P490">
            <v>8.82</v>
          </cell>
          <cell r="Q490">
            <v>20.99</v>
          </cell>
          <cell r="R490">
            <v>12.169999999999998</v>
          </cell>
          <cell r="S490">
            <v>3</v>
          </cell>
          <cell r="T490">
            <v>62.97</v>
          </cell>
          <cell r="V490">
            <v>0.62970000000000004</v>
          </cell>
          <cell r="W490">
            <v>62.340299999999999</v>
          </cell>
          <cell r="X490">
            <v>4.8099999999999996</v>
          </cell>
          <cell r="Y490">
            <v>67.150300000000001</v>
          </cell>
        </row>
        <row r="491">
          <cell r="A491" t="str">
            <v>5768-2</v>
          </cell>
          <cell r="B491">
            <v>42026</v>
          </cell>
          <cell r="C491" t="str">
            <v>2015</v>
          </cell>
          <cell r="D491" t="str">
            <v>Bill Donatelli</v>
          </cell>
          <cell r="E491" t="str">
            <v>8 Orange Street, Perth</v>
          </cell>
          <cell r="F491" t="str">
            <v>Perth</v>
          </cell>
          <cell r="G491" t="str">
            <v>WA</v>
          </cell>
          <cell r="H491" t="str">
            <v>Corporate</v>
          </cell>
          <cell r="I491" t="str">
            <v>Phoebe Gour</v>
          </cell>
          <cell r="J491" t="str">
            <v>Critical</v>
          </cell>
          <cell r="K491" t="str">
            <v>Artisan Flip-Chart Easel Binder, Black</v>
          </cell>
          <cell r="L491" t="str">
            <v>Office Supplies</v>
          </cell>
          <cell r="M491" t="str">
            <v>Small Box</v>
          </cell>
          <cell r="N491" t="str">
            <v>Express Air</v>
          </cell>
          <cell r="O491">
            <v>42026</v>
          </cell>
          <cell r="P491">
            <v>13.88</v>
          </cell>
          <cell r="Q491">
            <v>22.38</v>
          </cell>
          <cell r="R491">
            <v>8.4999999999999982</v>
          </cell>
          <cell r="S491">
            <v>42</v>
          </cell>
          <cell r="T491">
            <v>939.95999999999992</v>
          </cell>
          <cell r="V491">
            <v>65.797200000000004</v>
          </cell>
          <cell r="W491">
            <v>874.16279999999995</v>
          </cell>
          <cell r="X491">
            <v>15.1</v>
          </cell>
          <cell r="Y491">
            <v>889.26279999999997</v>
          </cell>
        </row>
        <row r="492">
          <cell r="A492" t="str">
            <v>5768-2</v>
          </cell>
          <cell r="B492">
            <v>42026</v>
          </cell>
          <cell r="C492" t="str">
            <v>2015</v>
          </cell>
          <cell r="D492" t="str">
            <v>Bill Donatelli</v>
          </cell>
          <cell r="E492" t="str">
            <v>8 Orange Street, Perth</v>
          </cell>
          <cell r="F492" t="str">
            <v>Perth</v>
          </cell>
          <cell r="G492" t="str">
            <v>WA</v>
          </cell>
          <cell r="H492" t="str">
            <v>Corporate</v>
          </cell>
          <cell r="I492" t="str">
            <v>Phoebe Gour</v>
          </cell>
          <cell r="J492" t="str">
            <v>Critical</v>
          </cell>
          <cell r="K492" t="str">
            <v>Beekin 105-Key Black Keyboard</v>
          </cell>
          <cell r="L492" t="str">
            <v>Technology</v>
          </cell>
          <cell r="M492" t="str">
            <v>Small Box</v>
          </cell>
          <cell r="N492" t="str">
            <v>Regular Air</v>
          </cell>
          <cell r="O492">
            <v>42028</v>
          </cell>
          <cell r="P492">
            <v>6.39</v>
          </cell>
          <cell r="Q492">
            <v>19.98</v>
          </cell>
          <cell r="R492">
            <v>13.59</v>
          </cell>
          <cell r="S492">
            <v>45</v>
          </cell>
          <cell r="T492">
            <v>899.1</v>
          </cell>
          <cell r="V492">
            <v>53.945999999999998</v>
          </cell>
          <cell r="W492">
            <v>845.154</v>
          </cell>
          <cell r="X492">
            <v>4</v>
          </cell>
          <cell r="Y492">
            <v>849.154</v>
          </cell>
        </row>
        <row r="493">
          <cell r="A493" t="str">
            <v>5773-1</v>
          </cell>
          <cell r="B493">
            <v>42027</v>
          </cell>
          <cell r="C493" t="str">
            <v>2015</v>
          </cell>
          <cell r="D493" t="str">
            <v>Christy Brittain</v>
          </cell>
          <cell r="E493" t="str">
            <v>Shop 1, 186-190 Church Street,Parramatta;46a Macleay Street,Potts Point</v>
          </cell>
          <cell r="F493" t="str">
            <v>Sydney</v>
          </cell>
          <cell r="G493" t="str">
            <v>NSW</v>
          </cell>
          <cell r="H493" t="str">
            <v>Consumer</v>
          </cell>
          <cell r="I493" t="str">
            <v>Mihael Khan</v>
          </cell>
          <cell r="J493" t="str">
            <v>Not Specified</v>
          </cell>
          <cell r="K493" t="str">
            <v>Message Book, One Form per Page</v>
          </cell>
          <cell r="L493" t="str">
            <v>Office Supplies</v>
          </cell>
          <cell r="M493" t="str">
            <v>Wrap Bag</v>
          </cell>
          <cell r="N493" t="str">
            <v>Regular Air</v>
          </cell>
          <cell r="O493">
            <v>42029</v>
          </cell>
          <cell r="P493">
            <v>2.41</v>
          </cell>
          <cell r="Q493">
            <v>3.71</v>
          </cell>
          <cell r="R493">
            <v>1.2999999999999998</v>
          </cell>
          <cell r="S493">
            <v>14</v>
          </cell>
          <cell r="T493">
            <v>51.94</v>
          </cell>
          <cell r="V493">
            <v>4.6745999999999999</v>
          </cell>
          <cell r="W493">
            <v>47.2654</v>
          </cell>
          <cell r="X493">
            <v>1.93</v>
          </cell>
          <cell r="Y493">
            <v>49.195399999999999</v>
          </cell>
        </row>
        <row r="494">
          <cell r="A494" t="str">
            <v>5775-1</v>
          </cell>
          <cell r="B494">
            <v>42030</v>
          </cell>
          <cell r="C494" t="str">
            <v>2015</v>
          </cell>
          <cell r="D494" t="str">
            <v>Darrin Sayre</v>
          </cell>
          <cell r="E494" t="str">
            <v>Sydney Fish Market, Bank Street, Sydney</v>
          </cell>
          <cell r="F494" t="str">
            <v>Sydney</v>
          </cell>
          <cell r="G494" t="str">
            <v>NSW</v>
          </cell>
          <cell r="H494" t="str">
            <v>Consumer</v>
          </cell>
          <cell r="I494" t="str">
            <v>Phoebe Gour</v>
          </cell>
          <cell r="J494" t="str">
            <v>Not Specified</v>
          </cell>
          <cell r="K494" t="str">
            <v>OIC Thumb-Tacks</v>
          </cell>
          <cell r="L494" t="str">
            <v>Office Supplies</v>
          </cell>
          <cell r="M494" t="str">
            <v>Wrap Bag</v>
          </cell>
          <cell r="N494" t="str">
            <v>Regular Air</v>
          </cell>
          <cell r="O494">
            <v>42032</v>
          </cell>
          <cell r="P494">
            <v>0.71</v>
          </cell>
          <cell r="Q494">
            <v>1.1399999999999999</v>
          </cell>
          <cell r="R494">
            <v>0.42999999999999994</v>
          </cell>
          <cell r="S494">
            <v>42</v>
          </cell>
          <cell r="T494">
            <v>47.879999999999995</v>
          </cell>
          <cell r="V494">
            <v>2.8727999999999998</v>
          </cell>
          <cell r="W494">
            <v>45.007199999999997</v>
          </cell>
          <cell r="X494">
            <v>0.7</v>
          </cell>
          <cell r="Y494">
            <v>45.7072</v>
          </cell>
        </row>
        <row r="495">
          <cell r="A495" t="str">
            <v>5777-1</v>
          </cell>
          <cell r="B495">
            <v>42032</v>
          </cell>
          <cell r="C495" t="str">
            <v>2015</v>
          </cell>
          <cell r="D495" t="str">
            <v>Phillip Flathmann</v>
          </cell>
          <cell r="E495" t="str">
            <v>Macquarie Centre Cnr Herring Road &amp; Waterloo Road,Macquarie Park</v>
          </cell>
          <cell r="F495" t="str">
            <v>Sydney</v>
          </cell>
          <cell r="G495" t="str">
            <v>NSW</v>
          </cell>
          <cell r="H495" t="str">
            <v>Small Business</v>
          </cell>
          <cell r="I495" t="str">
            <v>Nicholas Fernandes</v>
          </cell>
          <cell r="J495" t="str">
            <v>Medium</v>
          </cell>
          <cell r="K495" t="str">
            <v>Artisan 487 Labels</v>
          </cell>
          <cell r="L495" t="str">
            <v>Office Supplies</v>
          </cell>
          <cell r="M495" t="str">
            <v>Small Box</v>
          </cell>
          <cell r="N495" t="str">
            <v>Regular Air</v>
          </cell>
          <cell r="O495">
            <v>42033</v>
          </cell>
          <cell r="P495">
            <v>2.29</v>
          </cell>
          <cell r="Q495">
            <v>3.69</v>
          </cell>
          <cell r="R495">
            <v>1.4</v>
          </cell>
          <cell r="S495">
            <v>4</v>
          </cell>
          <cell r="T495">
            <v>14.76</v>
          </cell>
          <cell r="V495">
            <v>0.14760000000000001</v>
          </cell>
          <cell r="W495">
            <v>14.612399999999999</v>
          </cell>
          <cell r="X495">
            <v>0.5</v>
          </cell>
          <cell r="Y495">
            <v>15.112399999999999</v>
          </cell>
        </row>
        <row r="496">
          <cell r="A496" t="str">
            <v>5778-1</v>
          </cell>
          <cell r="B496">
            <v>42034</v>
          </cell>
          <cell r="C496" t="str">
            <v>2015</v>
          </cell>
          <cell r="D496" t="str">
            <v>Corinna Mitchell</v>
          </cell>
          <cell r="E496" t="str">
            <v>27 Greenfield Parade,Bankstown</v>
          </cell>
          <cell r="F496" t="str">
            <v>Sydney</v>
          </cell>
          <cell r="G496" t="str">
            <v>NSW</v>
          </cell>
          <cell r="H496" t="str">
            <v>Corporate</v>
          </cell>
          <cell r="I496" t="str">
            <v>Nicholas Fernandes</v>
          </cell>
          <cell r="J496" t="str">
            <v>Not Specified</v>
          </cell>
          <cell r="K496" t="str">
            <v>Adesso Programmable 142-Key Keyboard</v>
          </cell>
          <cell r="L496" t="str">
            <v>Technology</v>
          </cell>
          <cell r="M496" t="str">
            <v>Small Box</v>
          </cell>
          <cell r="N496" t="str">
            <v>Regular Air</v>
          </cell>
          <cell r="O496">
            <v>42035</v>
          </cell>
          <cell r="P496">
            <v>32.020000000000003</v>
          </cell>
          <cell r="Q496">
            <v>152.47999999999999</v>
          </cell>
          <cell r="R496">
            <v>120.45999999999998</v>
          </cell>
          <cell r="S496">
            <v>21</v>
          </cell>
          <cell r="T496">
            <v>3202.08</v>
          </cell>
          <cell r="V496">
            <v>96.062399999999997</v>
          </cell>
          <cell r="W496">
            <v>3106.0176000000001</v>
          </cell>
          <cell r="X496">
            <v>4</v>
          </cell>
          <cell r="Y496">
            <v>3110.0176000000001</v>
          </cell>
        </row>
        <row r="497">
          <cell r="A497" t="str">
            <v>5779-1</v>
          </cell>
          <cell r="B497">
            <v>42035</v>
          </cell>
          <cell r="C497" t="str">
            <v>2015</v>
          </cell>
          <cell r="D497" t="str">
            <v>Carl Ludwig</v>
          </cell>
          <cell r="E497" t="str">
            <v>1/173-179 Bronte Rd,Waverley</v>
          </cell>
          <cell r="F497" t="str">
            <v>Sydney</v>
          </cell>
          <cell r="G497" t="str">
            <v>NSW</v>
          </cell>
          <cell r="H497" t="str">
            <v>Corporate</v>
          </cell>
          <cell r="I497" t="str">
            <v>Leighton Forrest</v>
          </cell>
          <cell r="J497" t="str">
            <v>High</v>
          </cell>
          <cell r="K497" t="str">
            <v>Cando PC940 Copier</v>
          </cell>
          <cell r="L497" t="str">
            <v>Technology</v>
          </cell>
          <cell r="M497" t="str">
            <v>Jumbo Drum</v>
          </cell>
          <cell r="N497" t="str">
            <v>Delivery Truck</v>
          </cell>
          <cell r="O497">
            <v>42037</v>
          </cell>
          <cell r="P497">
            <v>278.99</v>
          </cell>
          <cell r="Q497">
            <v>449.99</v>
          </cell>
          <cell r="R497">
            <v>171</v>
          </cell>
          <cell r="S497">
            <v>25</v>
          </cell>
          <cell r="T497">
            <v>11249.75</v>
          </cell>
          <cell r="V497">
            <v>112.4975</v>
          </cell>
          <cell r="W497">
            <v>11137.252500000001</v>
          </cell>
          <cell r="X497">
            <v>49</v>
          </cell>
          <cell r="Y497">
            <v>11186.252500000001</v>
          </cell>
        </row>
        <row r="498">
          <cell r="A498" t="str">
            <v>5781-1</v>
          </cell>
          <cell r="B498">
            <v>42036</v>
          </cell>
          <cell r="C498" t="str">
            <v>2015</v>
          </cell>
          <cell r="D498" t="str">
            <v>Cari Schnelling</v>
          </cell>
          <cell r="E498" t="str">
            <v>273 George Street,Sydney</v>
          </cell>
          <cell r="F498" t="str">
            <v>Sydney</v>
          </cell>
          <cell r="G498" t="str">
            <v>NSW</v>
          </cell>
          <cell r="H498" t="str">
            <v>Home Office</v>
          </cell>
          <cell r="I498" t="str">
            <v>Leighton Forrest</v>
          </cell>
          <cell r="J498" t="str">
            <v>High</v>
          </cell>
          <cell r="K498" t="str">
            <v>3Max Polarizing Task Lamp with Clamp Arm, Light Gray</v>
          </cell>
          <cell r="L498" t="str">
            <v>Furniture</v>
          </cell>
          <cell r="M498" t="str">
            <v>Large Box</v>
          </cell>
          <cell r="N498" t="str">
            <v>Regular Air</v>
          </cell>
          <cell r="O498">
            <v>42038</v>
          </cell>
          <cell r="P498">
            <v>56.16</v>
          </cell>
          <cell r="Q498">
            <v>136.97999999999999</v>
          </cell>
          <cell r="R498">
            <v>80.819999999999993</v>
          </cell>
          <cell r="S498">
            <v>2</v>
          </cell>
          <cell r="T498">
            <v>273.95999999999998</v>
          </cell>
          <cell r="V498">
            <v>21.916799999999999</v>
          </cell>
          <cell r="W498">
            <v>252.04319999999998</v>
          </cell>
          <cell r="X498">
            <v>24.49</v>
          </cell>
          <cell r="Y498">
            <v>276.53319999999997</v>
          </cell>
        </row>
        <row r="499">
          <cell r="A499" t="str">
            <v>5782-1</v>
          </cell>
          <cell r="B499">
            <v>42036</v>
          </cell>
          <cell r="C499" t="str">
            <v>2015</v>
          </cell>
          <cell r="D499" t="str">
            <v>Julia Dunbar</v>
          </cell>
          <cell r="E499" t="str">
            <v>3/265 Stirling Street</v>
          </cell>
          <cell r="F499" t="str">
            <v>Perth</v>
          </cell>
          <cell r="G499" t="str">
            <v>WA</v>
          </cell>
          <cell r="H499" t="str">
            <v>Consumer</v>
          </cell>
          <cell r="I499" t="str">
            <v>Phoebe Gour</v>
          </cell>
          <cell r="J499" t="str">
            <v>Critical</v>
          </cell>
          <cell r="K499" t="str">
            <v>Binding Machine Supplies</v>
          </cell>
          <cell r="L499" t="str">
            <v>Office Supplies</v>
          </cell>
          <cell r="M499" t="str">
            <v>Small Box</v>
          </cell>
          <cell r="N499" t="str">
            <v>Regular Air</v>
          </cell>
          <cell r="O499">
            <v>42038</v>
          </cell>
          <cell r="P499">
            <v>18.38</v>
          </cell>
          <cell r="Q499">
            <v>29.17</v>
          </cell>
          <cell r="R499">
            <v>10.790000000000003</v>
          </cell>
          <cell r="S499">
            <v>43</v>
          </cell>
          <cell r="T499">
            <v>1254.3100000000002</v>
          </cell>
          <cell r="V499">
            <v>62.715500000000013</v>
          </cell>
          <cell r="W499">
            <v>1191.5945000000002</v>
          </cell>
          <cell r="X499">
            <v>6.27</v>
          </cell>
          <cell r="Y499">
            <v>1197.8645000000001</v>
          </cell>
        </row>
        <row r="500">
          <cell r="A500" t="str">
            <v>5784-1</v>
          </cell>
          <cell r="B500">
            <v>42038</v>
          </cell>
          <cell r="C500" t="str">
            <v>2015</v>
          </cell>
          <cell r="D500" t="str">
            <v>Ionia McGrath</v>
          </cell>
          <cell r="E500" t="str">
            <v>Westfield Parramatta,Parramatta</v>
          </cell>
          <cell r="F500" t="str">
            <v>Sydney</v>
          </cell>
          <cell r="G500" t="str">
            <v>NSW</v>
          </cell>
          <cell r="H500" t="str">
            <v>Small Business</v>
          </cell>
          <cell r="I500" t="str">
            <v>Stevie Bacata</v>
          </cell>
          <cell r="J500" t="str">
            <v>High</v>
          </cell>
          <cell r="K500" t="str">
            <v>1726 Digital Answering Machine</v>
          </cell>
          <cell r="L500" t="str">
            <v>Technology</v>
          </cell>
          <cell r="M500" t="str">
            <v>Medium Box</v>
          </cell>
          <cell r="N500" t="str">
            <v>Regular Air</v>
          </cell>
          <cell r="O500">
            <v>42041</v>
          </cell>
          <cell r="P500">
            <v>8.82</v>
          </cell>
          <cell r="Q500">
            <v>20.99</v>
          </cell>
          <cell r="R500">
            <v>12.169999999999998</v>
          </cell>
          <cell r="S500">
            <v>23</v>
          </cell>
          <cell r="T500">
            <v>482.77</v>
          </cell>
          <cell r="V500">
            <v>48.277000000000001</v>
          </cell>
          <cell r="W500">
            <v>434.49299999999999</v>
          </cell>
          <cell r="X500">
            <v>4.8099999999999996</v>
          </cell>
          <cell r="Y500">
            <v>439.303</v>
          </cell>
        </row>
        <row r="501">
          <cell r="A501" t="str">
            <v>5786-1</v>
          </cell>
          <cell r="B501">
            <v>42038</v>
          </cell>
          <cell r="C501" t="str">
            <v>2015</v>
          </cell>
          <cell r="D501" t="str">
            <v>Claire Good</v>
          </cell>
          <cell r="E501" t="str">
            <v>7/370-374 Victoria Ave,Chatswood</v>
          </cell>
          <cell r="F501" t="str">
            <v>Sydney</v>
          </cell>
          <cell r="G501" t="str">
            <v>NSW</v>
          </cell>
          <cell r="H501" t="str">
            <v>Home Office</v>
          </cell>
          <cell r="I501" t="str">
            <v>Stevie Bacata</v>
          </cell>
          <cell r="J501" t="str">
            <v>Medium</v>
          </cell>
          <cell r="K501" t="str">
            <v>Artisan Hi-Liter Fluorescent Desk Style Markers</v>
          </cell>
          <cell r="L501" t="str">
            <v>Office Supplies</v>
          </cell>
          <cell r="M501" t="str">
            <v>Wrap Bag</v>
          </cell>
          <cell r="N501" t="str">
            <v>Express Air</v>
          </cell>
          <cell r="O501">
            <v>42038</v>
          </cell>
          <cell r="P501">
            <v>1.76</v>
          </cell>
          <cell r="Q501">
            <v>3.38</v>
          </cell>
          <cell r="R501">
            <v>1.6199999999999999</v>
          </cell>
          <cell r="S501">
            <v>5</v>
          </cell>
          <cell r="T501">
            <v>16.899999999999999</v>
          </cell>
          <cell r="V501">
            <v>1.3519999999999999</v>
          </cell>
          <cell r="W501">
            <v>15.547999999999998</v>
          </cell>
          <cell r="X501">
            <v>0.85</v>
          </cell>
          <cell r="Y501">
            <v>16.398</v>
          </cell>
        </row>
        <row r="502">
          <cell r="A502" t="str">
            <v>5787-1</v>
          </cell>
          <cell r="B502">
            <v>42038</v>
          </cell>
          <cell r="C502" t="str">
            <v>2015</v>
          </cell>
          <cell r="D502" t="str">
            <v>Tom Stivers</v>
          </cell>
          <cell r="E502" t="str">
            <v>21 Wentworth St,Parramatta</v>
          </cell>
          <cell r="F502" t="str">
            <v>Sydney</v>
          </cell>
          <cell r="G502" t="str">
            <v>NSW</v>
          </cell>
          <cell r="H502" t="str">
            <v>Corporate</v>
          </cell>
          <cell r="I502" t="str">
            <v>Aanya Zhang</v>
          </cell>
          <cell r="J502" t="str">
            <v>Low</v>
          </cell>
          <cell r="K502" t="str">
            <v>Smiths SlimLine Pencil Sharpener</v>
          </cell>
          <cell r="L502" t="str">
            <v>Office Supplies</v>
          </cell>
          <cell r="M502" t="str">
            <v>Small Pack</v>
          </cell>
          <cell r="N502" t="str">
            <v>Regular Air</v>
          </cell>
          <cell r="O502">
            <v>42065</v>
          </cell>
          <cell r="P502">
            <v>4.79</v>
          </cell>
          <cell r="Q502">
            <v>11.97</v>
          </cell>
          <cell r="R502">
            <v>7.1800000000000006</v>
          </cell>
          <cell r="S502">
            <v>17</v>
          </cell>
          <cell r="T502">
            <v>203.49</v>
          </cell>
          <cell r="V502">
            <v>6.1047000000000002</v>
          </cell>
          <cell r="W502">
            <v>197.3853</v>
          </cell>
          <cell r="X502">
            <v>5.81</v>
          </cell>
          <cell r="Y502">
            <v>203.1953</v>
          </cell>
        </row>
        <row r="503">
          <cell r="A503" t="str">
            <v>5788-1</v>
          </cell>
          <cell r="B503">
            <v>42039</v>
          </cell>
          <cell r="C503" t="str">
            <v>2015</v>
          </cell>
          <cell r="D503" t="str">
            <v>Brad Thomas</v>
          </cell>
          <cell r="E503" t="str">
            <v>152 Bunnerong Road,Eastgardens</v>
          </cell>
          <cell r="F503" t="str">
            <v>Sydney</v>
          </cell>
          <cell r="G503" t="str">
            <v>NSW</v>
          </cell>
          <cell r="H503" t="str">
            <v>Home Office</v>
          </cell>
          <cell r="I503" t="str">
            <v>Tina Carlton</v>
          </cell>
          <cell r="J503" t="str">
            <v>Medium</v>
          </cell>
          <cell r="K503" t="str">
            <v>DrawIt Colored Pencils, 48-Color Set</v>
          </cell>
          <cell r="L503" t="str">
            <v>Office Supplies</v>
          </cell>
          <cell r="M503" t="str">
            <v>Wrap Bag</v>
          </cell>
          <cell r="N503" t="str">
            <v>Regular Air</v>
          </cell>
          <cell r="O503">
            <v>42041</v>
          </cell>
          <cell r="P503">
            <v>21.56</v>
          </cell>
          <cell r="Q503">
            <v>36.549999999999997</v>
          </cell>
          <cell r="R503">
            <v>14.989999999999998</v>
          </cell>
          <cell r="S503">
            <v>34</v>
          </cell>
          <cell r="T503">
            <v>1242.6999999999998</v>
          </cell>
          <cell r="V503">
            <v>37.280999999999992</v>
          </cell>
          <cell r="W503">
            <v>1205.4189999999999</v>
          </cell>
          <cell r="X503">
            <v>13.89</v>
          </cell>
          <cell r="Y503">
            <v>1219.309</v>
          </cell>
        </row>
        <row r="504">
          <cell r="A504" t="str">
            <v>5790-1</v>
          </cell>
          <cell r="B504">
            <v>42039</v>
          </cell>
          <cell r="C504" t="str">
            <v>2015</v>
          </cell>
          <cell r="D504" t="str">
            <v>David Smith</v>
          </cell>
          <cell r="E504" t="str">
            <v>85-113 Dunning Ave,Roseberry</v>
          </cell>
          <cell r="F504" t="str">
            <v>Sydney</v>
          </cell>
          <cell r="G504" t="str">
            <v>NSW</v>
          </cell>
          <cell r="H504" t="str">
            <v>Small Business</v>
          </cell>
          <cell r="I504" t="str">
            <v>Mihael Khan</v>
          </cell>
          <cell r="J504" t="str">
            <v>Critical</v>
          </cell>
          <cell r="K504" t="str">
            <v>Smiths Bulldog Clip</v>
          </cell>
          <cell r="L504" t="str">
            <v>Office Supplies</v>
          </cell>
          <cell r="M504" t="str">
            <v>Wrap Bag</v>
          </cell>
          <cell r="N504" t="str">
            <v>Regular Air</v>
          </cell>
          <cell r="O504">
            <v>42041</v>
          </cell>
          <cell r="P504">
            <v>2.31</v>
          </cell>
          <cell r="Q504">
            <v>3.78</v>
          </cell>
          <cell r="R504">
            <v>1.4699999999999998</v>
          </cell>
          <cell r="S504">
            <v>34</v>
          </cell>
          <cell r="T504">
            <v>128.51999999999998</v>
          </cell>
          <cell r="V504">
            <v>3.8555999999999995</v>
          </cell>
          <cell r="W504">
            <v>124.66439999999999</v>
          </cell>
          <cell r="X504">
            <v>0.71</v>
          </cell>
          <cell r="Y504">
            <v>125.37439999999998</v>
          </cell>
        </row>
        <row r="505">
          <cell r="A505" t="str">
            <v>5791-1</v>
          </cell>
          <cell r="B505">
            <v>42042</v>
          </cell>
          <cell r="C505" t="str">
            <v>2015</v>
          </cell>
          <cell r="D505" t="str">
            <v>Carlos Soltero</v>
          </cell>
          <cell r="E505" t="str">
            <v>1/41B Elizabeth Bay Rd,Elizabeth Bay</v>
          </cell>
          <cell r="F505" t="str">
            <v>Sydney</v>
          </cell>
          <cell r="G505" t="str">
            <v>NSW</v>
          </cell>
          <cell r="H505" t="str">
            <v>Small Business</v>
          </cell>
          <cell r="I505" t="str">
            <v>Charlie Bui</v>
          </cell>
          <cell r="J505" t="str">
            <v>Medium</v>
          </cell>
          <cell r="K505" t="str">
            <v>TechSavi Cordless Elite Duo</v>
          </cell>
          <cell r="L505" t="str">
            <v>Technology</v>
          </cell>
          <cell r="M505" t="str">
            <v>Small Box</v>
          </cell>
          <cell r="N505" t="str">
            <v>Regular Air</v>
          </cell>
          <cell r="O505">
            <v>42053</v>
          </cell>
          <cell r="P505">
            <v>60.59</v>
          </cell>
          <cell r="Q505">
            <v>100.98</v>
          </cell>
          <cell r="R505">
            <v>40.39</v>
          </cell>
          <cell r="S505">
            <v>13</v>
          </cell>
          <cell r="T505">
            <v>1312.74</v>
          </cell>
          <cell r="V505">
            <v>52.509599999999999</v>
          </cell>
          <cell r="W505">
            <v>1260.2303999999999</v>
          </cell>
          <cell r="X505">
            <v>7.18</v>
          </cell>
          <cell r="Y505">
            <v>1267.4104</v>
          </cell>
        </row>
        <row r="506">
          <cell r="A506" t="str">
            <v>5793-1</v>
          </cell>
          <cell r="B506">
            <v>42043</v>
          </cell>
          <cell r="C506" t="str">
            <v>2015</v>
          </cell>
          <cell r="D506" t="str">
            <v>Doug Bickford</v>
          </cell>
          <cell r="E506" t="str">
            <v>221 Barkly St,St Kilda</v>
          </cell>
          <cell r="F506" t="str">
            <v>Melbourne</v>
          </cell>
          <cell r="G506" t="str">
            <v>VIC</v>
          </cell>
          <cell r="H506" t="str">
            <v>Small Business</v>
          </cell>
          <cell r="I506" t="str">
            <v>Yvette Biti</v>
          </cell>
          <cell r="J506" t="str">
            <v>Medium</v>
          </cell>
          <cell r="K506" t="str">
            <v>Multimedia Mailers</v>
          </cell>
          <cell r="L506" t="str">
            <v>Office Supplies</v>
          </cell>
          <cell r="M506" t="str">
            <v>Small Box</v>
          </cell>
          <cell r="N506" t="str">
            <v>Regular Air</v>
          </cell>
          <cell r="O506">
            <v>42045</v>
          </cell>
          <cell r="P506">
            <v>99.39</v>
          </cell>
          <cell r="Q506">
            <v>162.93</v>
          </cell>
          <cell r="R506">
            <v>63.540000000000006</v>
          </cell>
          <cell r="S506">
            <v>39</v>
          </cell>
          <cell r="T506">
            <v>6354.27</v>
          </cell>
          <cell r="V506">
            <v>190.62810000000002</v>
          </cell>
          <cell r="W506">
            <v>6163.6419000000005</v>
          </cell>
          <cell r="X506">
            <v>19.989999999999998</v>
          </cell>
          <cell r="Y506">
            <v>6183.6319000000003</v>
          </cell>
        </row>
        <row r="507">
          <cell r="A507" t="str">
            <v>5795-1</v>
          </cell>
          <cell r="B507">
            <v>42044</v>
          </cell>
          <cell r="C507" t="str">
            <v>2015</v>
          </cell>
          <cell r="D507" t="str">
            <v>Linda Southworth</v>
          </cell>
          <cell r="E507" t="str">
            <v>359 Crown Street,Surry Hills</v>
          </cell>
          <cell r="F507" t="str">
            <v>Sydney</v>
          </cell>
          <cell r="G507" t="str">
            <v>NSW</v>
          </cell>
          <cell r="H507" t="str">
            <v>Consumer</v>
          </cell>
          <cell r="I507" t="str">
            <v>Phoebe Gour</v>
          </cell>
          <cell r="J507" t="str">
            <v>Low</v>
          </cell>
          <cell r="K507" t="str">
            <v>Alto Memo Cubes</v>
          </cell>
          <cell r="L507" t="str">
            <v>Office Supplies</v>
          </cell>
          <cell r="M507" t="str">
            <v>Wrap Bag</v>
          </cell>
          <cell r="N507" t="str">
            <v>Express Air</v>
          </cell>
          <cell r="O507">
            <v>42051</v>
          </cell>
          <cell r="P507">
            <v>3.32</v>
          </cell>
          <cell r="Q507">
            <v>5.18</v>
          </cell>
          <cell r="R507">
            <v>1.8599999999999999</v>
          </cell>
          <cell r="S507">
            <v>11</v>
          </cell>
          <cell r="T507">
            <v>56.98</v>
          </cell>
          <cell r="V507">
            <v>3.4187999999999996</v>
          </cell>
          <cell r="W507">
            <v>53.561199999999999</v>
          </cell>
          <cell r="X507">
            <v>2.04</v>
          </cell>
          <cell r="Y507">
            <v>55.601199999999999</v>
          </cell>
        </row>
        <row r="508">
          <cell r="A508" t="str">
            <v>5797-1</v>
          </cell>
          <cell r="B508">
            <v>42047</v>
          </cell>
          <cell r="C508" t="str">
            <v>2015</v>
          </cell>
          <cell r="D508" t="str">
            <v>Michelle Moray</v>
          </cell>
          <cell r="E508" t="str">
            <v>310 Wattle St,Ultimo</v>
          </cell>
          <cell r="F508" t="str">
            <v>Sydney</v>
          </cell>
          <cell r="G508" t="str">
            <v>NSW</v>
          </cell>
          <cell r="H508" t="str">
            <v>Corporate</v>
          </cell>
          <cell r="I508" t="str">
            <v>Aanya Zhang</v>
          </cell>
          <cell r="J508" t="str">
            <v>Low</v>
          </cell>
          <cell r="K508" t="str">
            <v>Apex Straight Scissors</v>
          </cell>
          <cell r="L508" t="str">
            <v>Office Supplies</v>
          </cell>
          <cell r="M508" t="str">
            <v>Small Pack</v>
          </cell>
          <cell r="N508" t="str">
            <v>Regular Air</v>
          </cell>
          <cell r="O508">
            <v>42047</v>
          </cell>
          <cell r="P508">
            <v>5.19</v>
          </cell>
          <cell r="Q508">
            <v>12.98</v>
          </cell>
          <cell r="R508">
            <v>7.79</v>
          </cell>
          <cell r="S508">
            <v>50</v>
          </cell>
          <cell r="T508">
            <v>649</v>
          </cell>
          <cell r="V508">
            <v>51.92</v>
          </cell>
          <cell r="W508">
            <v>597.08000000000004</v>
          </cell>
          <cell r="X508">
            <v>3.14</v>
          </cell>
          <cell r="Y508">
            <v>600.22</v>
          </cell>
        </row>
        <row r="509">
          <cell r="A509" t="str">
            <v>5799-1</v>
          </cell>
          <cell r="B509">
            <v>42047</v>
          </cell>
          <cell r="C509" t="str">
            <v>2015</v>
          </cell>
          <cell r="D509" t="str">
            <v>Dorris Love</v>
          </cell>
          <cell r="E509" t="str">
            <v>359 Crown Street,Surry Hills</v>
          </cell>
          <cell r="F509" t="str">
            <v>Sydney</v>
          </cell>
          <cell r="G509" t="str">
            <v>NSW</v>
          </cell>
          <cell r="H509" t="str">
            <v>Home Office</v>
          </cell>
          <cell r="I509" t="str">
            <v>Phoebe Gour</v>
          </cell>
          <cell r="J509" t="str">
            <v>Not Specified</v>
          </cell>
          <cell r="K509" t="str">
            <v>UGen Ultra Professional Cordless Optical Suite</v>
          </cell>
          <cell r="L509" t="str">
            <v>Technology</v>
          </cell>
          <cell r="M509" t="str">
            <v>Small Box</v>
          </cell>
          <cell r="N509" t="str">
            <v>Regular Air</v>
          </cell>
          <cell r="O509">
            <v>42048</v>
          </cell>
          <cell r="P509">
            <v>156.5</v>
          </cell>
          <cell r="Q509">
            <v>300.97000000000003</v>
          </cell>
          <cell r="R509">
            <v>144.47000000000003</v>
          </cell>
          <cell r="S509">
            <v>41</v>
          </cell>
          <cell r="T509">
            <v>12339.77</v>
          </cell>
          <cell r="V509">
            <v>1233.9770000000001</v>
          </cell>
          <cell r="W509">
            <v>11105.793</v>
          </cell>
          <cell r="X509">
            <v>7.18</v>
          </cell>
          <cell r="Y509">
            <v>11112.973</v>
          </cell>
        </row>
        <row r="510">
          <cell r="A510" t="str">
            <v>5800-1</v>
          </cell>
          <cell r="B510">
            <v>42049</v>
          </cell>
          <cell r="C510" t="str">
            <v>2015</v>
          </cell>
          <cell r="D510" t="str">
            <v>Ralph Arnett</v>
          </cell>
          <cell r="E510" t="str">
            <v>88 Oxford St,Woollahra</v>
          </cell>
          <cell r="F510" t="str">
            <v>Sydney</v>
          </cell>
          <cell r="G510" t="str">
            <v>NSW</v>
          </cell>
          <cell r="H510" t="str">
            <v>Consumer</v>
          </cell>
          <cell r="I510" t="str">
            <v>Charlie Bui</v>
          </cell>
          <cell r="J510" t="str">
            <v>Medium</v>
          </cell>
          <cell r="K510" t="str">
            <v>Alto Parchment Paper, Assorted Colors</v>
          </cell>
          <cell r="L510" t="str">
            <v>Office Supplies</v>
          </cell>
          <cell r="M510" t="str">
            <v>Small Box</v>
          </cell>
          <cell r="N510" t="str">
            <v>Express Air</v>
          </cell>
          <cell r="O510">
            <v>42050</v>
          </cell>
          <cell r="P510">
            <v>4.59</v>
          </cell>
          <cell r="Q510">
            <v>7.28</v>
          </cell>
          <cell r="R510">
            <v>2.6900000000000004</v>
          </cell>
          <cell r="S510">
            <v>5</v>
          </cell>
          <cell r="T510">
            <v>36.4</v>
          </cell>
          <cell r="V510">
            <v>1.82</v>
          </cell>
          <cell r="W510">
            <v>34.58</v>
          </cell>
          <cell r="X510">
            <v>11.15</v>
          </cell>
          <cell r="Y510">
            <v>45.73</v>
          </cell>
        </row>
        <row r="511">
          <cell r="A511" t="str">
            <v>5801-1</v>
          </cell>
          <cell r="B511">
            <v>42050</v>
          </cell>
          <cell r="C511" t="str">
            <v>2015</v>
          </cell>
          <cell r="D511" t="str">
            <v>Jasper Cacioppo</v>
          </cell>
          <cell r="E511" t="str">
            <v>14 Knebworth Avenue</v>
          </cell>
          <cell r="F511" t="str">
            <v>Perth</v>
          </cell>
          <cell r="G511" t="str">
            <v>WA</v>
          </cell>
          <cell r="H511" t="str">
            <v>Home Office</v>
          </cell>
          <cell r="I511" t="str">
            <v>Radhya Staples</v>
          </cell>
          <cell r="J511" t="str">
            <v>Medium</v>
          </cell>
          <cell r="K511" t="str">
            <v>Artisan Reinforcements for Hole-Punch Pages</v>
          </cell>
          <cell r="L511" t="str">
            <v>Office Supplies</v>
          </cell>
          <cell r="M511" t="str">
            <v>Small Box</v>
          </cell>
          <cell r="N511" t="str">
            <v>Regular Air</v>
          </cell>
          <cell r="O511">
            <v>42051</v>
          </cell>
          <cell r="P511">
            <v>1.19</v>
          </cell>
          <cell r="Q511">
            <v>1.98</v>
          </cell>
          <cell r="R511">
            <v>0.79</v>
          </cell>
          <cell r="S511">
            <v>3</v>
          </cell>
          <cell r="T511">
            <v>5.9399999999999995</v>
          </cell>
          <cell r="V511">
            <v>0.29699999999999999</v>
          </cell>
          <cell r="W511">
            <v>5.6429999999999998</v>
          </cell>
          <cell r="X511">
            <v>4.7699999999999996</v>
          </cell>
          <cell r="Y511">
            <v>10.413</v>
          </cell>
        </row>
        <row r="512">
          <cell r="A512" t="str">
            <v>5802-1</v>
          </cell>
          <cell r="B512">
            <v>42052</v>
          </cell>
          <cell r="C512" t="str">
            <v>2015</v>
          </cell>
          <cell r="D512" t="str">
            <v>Shahid Shariari</v>
          </cell>
          <cell r="E512" t="str">
            <v>3/219 Canley Vale Road,Canley Heights</v>
          </cell>
          <cell r="F512" t="str">
            <v>Sydney</v>
          </cell>
          <cell r="G512" t="str">
            <v>NSW</v>
          </cell>
          <cell r="H512" t="str">
            <v>Corporate</v>
          </cell>
          <cell r="I512" t="str">
            <v>Mihael Khan</v>
          </cell>
          <cell r="J512" t="str">
            <v>Medium</v>
          </cell>
          <cell r="K512" t="str">
            <v>Smiths SlimLine Pencil Sharpener</v>
          </cell>
          <cell r="L512" t="str">
            <v>Office Supplies</v>
          </cell>
          <cell r="M512" t="str">
            <v>Small Pack</v>
          </cell>
          <cell r="N512" t="str">
            <v>Regular Air</v>
          </cell>
          <cell r="O512">
            <v>42054</v>
          </cell>
          <cell r="P512">
            <v>4.79</v>
          </cell>
          <cell r="Q512">
            <v>11.97</v>
          </cell>
          <cell r="R512">
            <v>7.1800000000000006</v>
          </cell>
          <cell r="S512">
            <v>30</v>
          </cell>
          <cell r="T512">
            <v>359.1</v>
          </cell>
          <cell r="V512">
            <v>28.728000000000002</v>
          </cell>
          <cell r="W512">
            <v>330.37200000000001</v>
          </cell>
          <cell r="X512">
            <v>5.81</v>
          </cell>
          <cell r="Y512">
            <v>336.18200000000002</v>
          </cell>
        </row>
        <row r="513">
          <cell r="A513" t="str">
            <v>5803-1</v>
          </cell>
          <cell r="B513">
            <v>42053</v>
          </cell>
          <cell r="C513" t="str">
            <v>2015</v>
          </cell>
          <cell r="D513" t="str">
            <v>Jeremy Pistek</v>
          </cell>
          <cell r="E513" t="str">
            <v>85-113 Dunning Ave,Roseberry</v>
          </cell>
          <cell r="F513" t="str">
            <v>Sydney</v>
          </cell>
          <cell r="G513" t="str">
            <v>NSW</v>
          </cell>
          <cell r="H513" t="str">
            <v>Corporate</v>
          </cell>
          <cell r="I513" t="str">
            <v>Mihael Khan</v>
          </cell>
          <cell r="J513" t="str">
            <v>High</v>
          </cell>
          <cell r="K513" t="str">
            <v>Artisan Durable Binders</v>
          </cell>
          <cell r="L513" t="str">
            <v>Office Supplies</v>
          </cell>
          <cell r="M513" t="str">
            <v>Small Box</v>
          </cell>
          <cell r="N513" t="str">
            <v>Regular Air</v>
          </cell>
          <cell r="O513">
            <v>42055</v>
          </cell>
          <cell r="P513">
            <v>1.84</v>
          </cell>
          <cell r="Q513">
            <v>2.88</v>
          </cell>
          <cell r="R513">
            <v>1.0399999999999998</v>
          </cell>
          <cell r="S513">
            <v>22</v>
          </cell>
          <cell r="T513">
            <v>63.36</v>
          </cell>
          <cell r="V513">
            <v>6.3360000000000003</v>
          </cell>
          <cell r="W513">
            <v>57.024000000000001</v>
          </cell>
          <cell r="X513">
            <v>1.49</v>
          </cell>
          <cell r="Y513">
            <v>58.514000000000003</v>
          </cell>
        </row>
        <row r="514">
          <cell r="A514" t="str">
            <v>5804-1</v>
          </cell>
          <cell r="B514">
            <v>42053</v>
          </cell>
          <cell r="C514" t="str">
            <v>2015</v>
          </cell>
          <cell r="D514" t="str">
            <v>Sandra Glassco</v>
          </cell>
          <cell r="E514" t="str">
            <v>224A Gertrude St,Fitzroy</v>
          </cell>
          <cell r="F514" t="str">
            <v>Melbourne</v>
          </cell>
          <cell r="G514" t="str">
            <v>VIC</v>
          </cell>
          <cell r="H514" t="str">
            <v>Home Office</v>
          </cell>
          <cell r="I514" t="str">
            <v>Connor Betts</v>
          </cell>
          <cell r="J514" t="str">
            <v>High</v>
          </cell>
          <cell r="K514" t="str">
            <v>Artisan Durable Poly Binders</v>
          </cell>
          <cell r="L514" t="str">
            <v>Office Supplies</v>
          </cell>
          <cell r="M514" t="str">
            <v>Small Box</v>
          </cell>
          <cell r="N514" t="str">
            <v>Regular Air</v>
          </cell>
          <cell r="O514">
            <v>42056</v>
          </cell>
          <cell r="P514">
            <v>3.37</v>
          </cell>
          <cell r="Q514">
            <v>5.53</v>
          </cell>
          <cell r="R514">
            <v>2.16</v>
          </cell>
          <cell r="S514">
            <v>12</v>
          </cell>
          <cell r="T514">
            <v>66.36</v>
          </cell>
          <cell r="V514">
            <v>3.9815999999999998</v>
          </cell>
          <cell r="W514">
            <v>62.378399999999999</v>
          </cell>
          <cell r="X514">
            <v>6.98</v>
          </cell>
          <cell r="Y514">
            <v>69.358400000000003</v>
          </cell>
        </row>
        <row r="515">
          <cell r="A515" t="str">
            <v>5804-2</v>
          </cell>
          <cell r="B515">
            <v>42053</v>
          </cell>
          <cell r="C515" t="str">
            <v>2015</v>
          </cell>
          <cell r="D515" t="str">
            <v>Sandra Glassco</v>
          </cell>
          <cell r="E515" t="str">
            <v>224A Gertrude St,Fitzroy</v>
          </cell>
          <cell r="F515" t="str">
            <v>Melbourne</v>
          </cell>
          <cell r="G515" t="str">
            <v>VIC</v>
          </cell>
          <cell r="H515" t="str">
            <v>Home Office</v>
          </cell>
          <cell r="I515" t="str">
            <v>Connor Betts</v>
          </cell>
          <cell r="J515" t="str">
            <v>High</v>
          </cell>
          <cell r="K515" t="str">
            <v>Artisan Hi-Liter Pen Style Six-Color Fluorescent Set</v>
          </cell>
          <cell r="L515" t="str">
            <v>Office Supplies</v>
          </cell>
          <cell r="M515" t="str">
            <v>Wrap Bag</v>
          </cell>
          <cell r="N515" t="str">
            <v>Regular Air</v>
          </cell>
          <cell r="O515">
            <v>42054</v>
          </cell>
          <cell r="P515">
            <v>2.16</v>
          </cell>
          <cell r="Q515">
            <v>3.85</v>
          </cell>
          <cell r="R515">
            <v>1.69</v>
          </cell>
          <cell r="S515">
            <v>12</v>
          </cell>
          <cell r="T515">
            <v>46.2</v>
          </cell>
          <cell r="V515">
            <v>4.62</v>
          </cell>
          <cell r="W515">
            <v>41.580000000000005</v>
          </cell>
          <cell r="X515">
            <v>0.7</v>
          </cell>
          <cell r="Y515">
            <v>42.280000000000008</v>
          </cell>
        </row>
        <row r="516">
          <cell r="A516" t="str">
            <v>5805-1</v>
          </cell>
          <cell r="B516">
            <v>42058</v>
          </cell>
          <cell r="C516" t="str">
            <v>2015</v>
          </cell>
          <cell r="D516" t="str">
            <v>Brian Thompson</v>
          </cell>
          <cell r="E516" t="str">
            <v>154 Castlereagh St,Sydney</v>
          </cell>
          <cell r="F516" t="str">
            <v>Sydney</v>
          </cell>
          <cell r="G516" t="str">
            <v>NSW</v>
          </cell>
          <cell r="H516" t="str">
            <v>Home Office</v>
          </cell>
          <cell r="I516" t="str">
            <v>Samantha Chairs</v>
          </cell>
          <cell r="J516" t="str">
            <v>Critical</v>
          </cell>
          <cell r="K516" t="str">
            <v>Security-Tint Envelopes</v>
          </cell>
          <cell r="L516" t="str">
            <v>Office Supplies</v>
          </cell>
          <cell r="M516" t="str">
            <v>Small Box</v>
          </cell>
          <cell r="N516" t="str">
            <v>Regular Air</v>
          </cell>
          <cell r="O516">
            <v>42061</v>
          </cell>
          <cell r="P516">
            <v>4.8899999999999997</v>
          </cell>
          <cell r="Q516">
            <v>7.64</v>
          </cell>
          <cell r="R516">
            <v>2.75</v>
          </cell>
          <cell r="S516">
            <v>32</v>
          </cell>
          <cell r="T516">
            <v>244.48</v>
          </cell>
          <cell r="V516">
            <v>14.668799999999999</v>
          </cell>
          <cell r="W516">
            <v>229.81119999999999</v>
          </cell>
          <cell r="X516">
            <v>1.39</v>
          </cell>
          <cell r="Y516">
            <v>231.20119999999997</v>
          </cell>
        </row>
        <row r="517">
          <cell r="A517" t="str">
            <v>5806-1</v>
          </cell>
          <cell r="B517">
            <v>42059</v>
          </cell>
          <cell r="C517" t="str">
            <v>2015</v>
          </cell>
          <cell r="D517" t="str">
            <v>Sylvia Foulston</v>
          </cell>
          <cell r="E517" t="str">
            <v>101 Murray Street</v>
          </cell>
          <cell r="F517" t="str">
            <v>Perth</v>
          </cell>
          <cell r="G517" t="str">
            <v>WA</v>
          </cell>
          <cell r="H517" t="str">
            <v>Corporate</v>
          </cell>
          <cell r="I517" t="str">
            <v>Tina Carlton</v>
          </cell>
          <cell r="J517" t="str">
            <v>Medium</v>
          </cell>
          <cell r="K517" t="str">
            <v>Assorted Color Push Pins</v>
          </cell>
          <cell r="L517" t="str">
            <v>Office Supplies</v>
          </cell>
          <cell r="M517" t="str">
            <v>Wrap Bag</v>
          </cell>
          <cell r="N517" t="str">
            <v>Regular Air</v>
          </cell>
          <cell r="O517">
            <v>42060</v>
          </cell>
          <cell r="P517">
            <v>0.87</v>
          </cell>
          <cell r="Q517">
            <v>1.81</v>
          </cell>
          <cell r="R517">
            <v>0.94000000000000006</v>
          </cell>
          <cell r="S517">
            <v>41</v>
          </cell>
          <cell r="T517">
            <v>74.210000000000008</v>
          </cell>
          <cell r="V517">
            <v>2.2263000000000002</v>
          </cell>
          <cell r="W517">
            <v>71.983700000000013</v>
          </cell>
          <cell r="X517">
            <v>0.75</v>
          </cell>
          <cell r="Y517">
            <v>72.733700000000013</v>
          </cell>
        </row>
        <row r="518">
          <cell r="A518" t="str">
            <v>5807-1</v>
          </cell>
          <cell r="B518">
            <v>42059</v>
          </cell>
          <cell r="C518" t="str">
            <v>2015</v>
          </cell>
          <cell r="D518" t="str">
            <v>Ann Blume</v>
          </cell>
          <cell r="E518" t="str">
            <v>33 Wellington Street, Perth</v>
          </cell>
          <cell r="F518" t="str">
            <v>Melbourne</v>
          </cell>
          <cell r="G518" t="str">
            <v>VIC</v>
          </cell>
          <cell r="H518" t="str">
            <v>Small Business</v>
          </cell>
          <cell r="I518" t="str">
            <v>Connor Betts</v>
          </cell>
          <cell r="J518" t="str">
            <v>Critical</v>
          </cell>
          <cell r="K518" t="str">
            <v>Artisan 487 Labels</v>
          </cell>
          <cell r="L518" t="str">
            <v>Office Supplies</v>
          </cell>
          <cell r="M518" t="str">
            <v>Small Box</v>
          </cell>
          <cell r="N518" t="str">
            <v>Regular Air</v>
          </cell>
          <cell r="O518">
            <v>42059</v>
          </cell>
          <cell r="P518">
            <v>2.29</v>
          </cell>
          <cell r="Q518">
            <v>3.69</v>
          </cell>
          <cell r="R518">
            <v>1.4</v>
          </cell>
          <cell r="S518">
            <v>12</v>
          </cell>
          <cell r="T518">
            <v>44.28</v>
          </cell>
          <cell r="V518">
            <v>0.88560000000000005</v>
          </cell>
          <cell r="W518">
            <v>43.394400000000005</v>
          </cell>
          <cell r="X518">
            <v>0.5</v>
          </cell>
          <cell r="Y518">
            <v>43.894400000000005</v>
          </cell>
        </row>
        <row r="519">
          <cell r="A519" t="str">
            <v>5809-1</v>
          </cell>
          <cell r="B519">
            <v>42062</v>
          </cell>
          <cell r="C519" t="str">
            <v>2015</v>
          </cell>
          <cell r="D519" t="str">
            <v>Roy French</v>
          </cell>
          <cell r="E519" t="str">
            <v>78 Stanley St,Darlinghurst</v>
          </cell>
          <cell r="F519" t="str">
            <v>Sydney</v>
          </cell>
          <cell r="G519" t="str">
            <v>NSW</v>
          </cell>
          <cell r="H519" t="str">
            <v>Consumer</v>
          </cell>
          <cell r="I519" t="str">
            <v>Phoebe Gour</v>
          </cell>
          <cell r="J519" t="str">
            <v>High</v>
          </cell>
          <cell r="K519" t="str">
            <v>Artisan 474 Labels</v>
          </cell>
          <cell r="L519" t="str">
            <v>Office Supplies</v>
          </cell>
          <cell r="M519" t="str">
            <v>Small Box</v>
          </cell>
          <cell r="N519" t="str">
            <v>Express Air</v>
          </cell>
          <cell r="O519">
            <v>42063</v>
          </cell>
          <cell r="P519">
            <v>1.84</v>
          </cell>
          <cell r="Q519">
            <v>2.88</v>
          </cell>
          <cell r="R519">
            <v>1.0399999999999998</v>
          </cell>
          <cell r="S519">
            <v>9</v>
          </cell>
          <cell r="T519">
            <v>25.919999999999998</v>
          </cell>
          <cell r="V519">
            <v>0</v>
          </cell>
          <cell r="W519">
            <v>25.919999999999998</v>
          </cell>
          <cell r="X519">
            <v>0.99</v>
          </cell>
          <cell r="Y519">
            <v>26.909999999999997</v>
          </cell>
        </row>
        <row r="520">
          <cell r="A520" t="str">
            <v>5811-1</v>
          </cell>
          <cell r="B520">
            <v>42064</v>
          </cell>
          <cell r="C520" t="str">
            <v>2015</v>
          </cell>
          <cell r="D520" t="str">
            <v>Anne McFarland</v>
          </cell>
          <cell r="E520" t="str">
            <v>101 Murray Street, Perth</v>
          </cell>
          <cell r="F520" t="str">
            <v>Sydney</v>
          </cell>
          <cell r="G520" t="str">
            <v>NSW</v>
          </cell>
          <cell r="H520" t="str">
            <v>Consumer</v>
          </cell>
          <cell r="I520" t="str">
            <v>Charlie Bui</v>
          </cell>
          <cell r="J520" t="str">
            <v>Low</v>
          </cell>
          <cell r="K520" t="str">
            <v>TechSavi Access Keyboard</v>
          </cell>
          <cell r="L520" t="str">
            <v>Technology</v>
          </cell>
          <cell r="M520" t="str">
            <v>Small Box</v>
          </cell>
          <cell r="N520" t="str">
            <v>Regular Air</v>
          </cell>
          <cell r="O520">
            <v>42064</v>
          </cell>
          <cell r="P520">
            <v>10.07</v>
          </cell>
          <cell r="Q520">
            <v>15.98</v>
          </cell>
          <cell r="R520">
            <v>5.91</v>
          </cell>
          <cell r="S520">
            <v>26</v>
          </cell>
          <cell r="T520">
            <v>415.48</v>
          </cell>
          <cell r="V520">
            <v>4.1547999999999998</v>
          </cell>
          <cell r="W520">
            <v>411.3252</v>
          </cell>
          <cell r="X520">
            <v>4</v>
          </cell>
          <cell r="Y520">
            <v>415.3252</v>
          </cell>
        </row>
        <row r="521">
          <cell r="A521" t="str">
            <v>5813-1</v>
          </cell>
          <cell r="B521">
            <v>42065</v>
          </cell>
          <cell r="C521" t="str">
            <v>2015</v>
          </cell>
          <cell r="D521" t="str">
            <v>Sarah Bern</v>
          </cell>
          <cell r="E521" t="str">
            <v>1-2/299 Sussex St,Sydney</v>
          </cell>
          <cell r="F521" t="str">
            <v>Sydney</v>
          </cell>
          <cell r="G521" t="str">
            <v>NSW</v>
          </cell>
          <cell r="H521" t="str">
            <v>Corporate</v>
          </cell>
          <cell r="I521" t="str">
            <v>Aanya Zhang</v>
          </cell>
          <cell r="J521" t="str">
            <v>Medium</v>
          </cell>
          <cell r="K521" t="str">
            <v>Artisan Hole Reinforcements</v>
          </cell>
          <cell r="L521" t="str">
            <v>Office Supplies</v>
          </cell>
          <cell r="M521" t="str">
            <v>Small Box</v>
          </cell>
          <cell r="N521" t="str">
            <v>Express Air</v>
          </cell>
          <cell r="O521">
            <v>42066</v>
          </cell>
          <cell r="P521">
            <v>3.99</v>
          </cell>
          <cell r="Q521">
            <v>6.23</v>
          </cell>
          <cell r="R521">
            <v>2.2400000000000002</v>
          </cell>
          <cell r="S521">
            <v>4</v>
          </cell>
          <cell r="T521">
            <v>24.92</v>
          </cell>
          <cell r="V521">
            <v>2.4920000000000004</v>
          </cell>
          <cell r="W521">
            <v>22.428000000000001</v>
          </cell>
          <cell r="X521">
            <v>6.97</v>
          </cell>
          <cell r="Y521">
            <v>29.398</v>
          </cell>
        </row>
        <row r="522">
          <cell r="A522" t="str">
            <v>5814-1</v>
          </cell>
          <cell r="B522">
            <v>42065</v>
          </cell>
          <cell r="C522" t="str">
            <v>2015</v>
          </cell>
          <cell r="D522" t="str">
            <v>Thomas Thornton</v>
          </cell>
          <cell r="E522" t="str">
            <v>222 Barkly St,St Kilda</v>
          </cell>
          <cell r="F522" t="str">
            <v>Melbourne</v>
          </cell>
          <cell r="G522" t="str">
            <v>VIC</v>
          </cell>
          <cell r="H522" t="str">
            <v>Consumer</v>
          </cell>
          <cell r="I522" t="str">
            <v>Yvette Biti</v>
          </cell>
          <cell r="J522" t="str">
            <v>Critical</v>
          </cell>
          <cell r="K522" t="str">
            <v>Steady Colorific Colored Pencils, 12/Box</v>
          </cell>
          <cell r="L522" t="str">
            <v>Office Supplies</v>
          </cell>
          <cell r="M522" t="str">
            <v>Wrap Bag</v>
          </cell>
          <cell r="N522" t="str">
            <v>Regular Air</v>
          </cell>
          <cell r="O522">
            <v>42067</v>
          </cell>
          <cell r="P522">
            <v>1.3</v>
          </cell>
          <cell r="Q522">
            <v>2.88</v>
          </cell>
          <cell r="R522">
            <v>1.5799999999999998</v>
          </cell>
          <cell r="S522">
            <v>43</v>
          </cell>
          <cell r="T522">
            <v>123.83999999999999</v>
          </cell>
          <cell r="V522">
            <v>12.384</v>
          </cell>
          <cell r="W522">
            <v>111.45599999999999</v>
          </cell>
          <cell r="X522">
            <v>1.01</v>
          </cell>
          <cell r="Y522">
            <v>112.46599999999999</v>
          </cell>
        </row>
        <row r="523">
          <cell r="A523" t="str">
            <v>5815-1</v>
          </cell>
          <cell r="B523">
            <v>42066</v>
          </cell>
          <cell r="C523" t="str">
            <v>2015</v>
          </cell>
          <cell r="D523" t="str">
            <v>Nicole Brennan</v>
          </cell>
          <cell r="E523" t="str">
            <v>310 Wattle St,Ultimo</v>
          </cell>
          <cell r="F523" t="str">
            <v>Sydney</v>
          </cell>
          <cell r="G523" t="str">
            <v>NSW</v>
          </cell>
          <cell r="H523" t="str">
            <v>Home Office</v>
          </cell>
          <cell r="I523" t="str">
            <v>Aanya Zhang</v>
          </cell>
          <cell r="J523" t="str">
            <v>High</v>
          </cell>
          <cell r="K523" t="str">
            <v>Lumi Crayons</v>
          </cell>
          <cell r="L523" t="str">
            <v>Office Supplies</v>
          </cell>
          <cell r="M523" t="str">
            <v>Wrap Bag</v>
          </cell>
          <cell r="N523" t="str">
            <v>Regular Air</v>
          </cell>
          <cell r="O523">
            <v>42067</v>
          </cell>
          <cell r="P523">
            <v>5.22</v>
          </cell>
          <cell r="Q523">
            <v>9.85</v>
          </cell>
          <cell r="R523">
            <v>4.63</v>
          </cell>
          <cell r="S523">
            <v>41</v>
          </cell>
          <cell r="T523">
            <v>403.84999999999997</v>
          </cell>
          <cell r="V523">
            <v>20.192499999999999</v>
          </cell>
          <cell r="W523">
            <v>383.65749999999997</v>
          </cell>
          <cell r="X523">
            <v>4.82</v>
          </cell>
          <cell r="Y523">
            <v>388.47749999999996</v>
          </cell>
        </row>
        <row r="524">
          <cell r="A524" t="str">
            <v>5816-1</v>
          </cell>
          <cell r="B524">
            <v>42067</v>
          </cell>
          <cell r="C524" t="str">
            <v>2015</v>
          </cell>
          <cell r="D524" t="str">
            <v>Tracy Poddar</v>
          </cell>
          <cell r="E524" t="str">
            <v>834 Bourke St,Waterloo</v>
          </cell>
          <cell r="F524" t="str">
            <v>Sydney</v>
          </cell>
          <cell r="G524" t="str">
            <v>NSW</v>
          </cell>
          <cell r="H524" t="str">
            <v>Corporate</v>
          </cell>
          <cell r="I524" t="str">
            <v>Charlie Bui</v>
          </cell>
          <cell r="J524" t="str">
            <v>High</v>
          </cell>
          <cell r="K524" t="str">
            <v>Artisan Hi-Liter Pen Style Six-Color Fluorescent Set</v>
          </cell>
          <cell r="L524" t="str">
            <v>Office Supplies</v>
          </cell>
          <cell r="M524" t="str">
            <v>Wrap Bag</v>
          </cell>
          <cell r="N524" t="str">
            <v>Regular Air</v>
          </cell>
          <cell r="O524">
            <v>42069</v>
          </cell>
          <cell r="P524">
            <v>2.16</v>
          </cell>
          <cell r="Q524">
            <v>3.85</v>
          </cell>
          <cell r="R524">
            <v>1.69</v>
          </cell>
          <cell r="S524">
            <v>4</v>
          </cell>
          <cell r="T524">
            <v>15.4</v>
          </cell>
          <cell r="V524">
            <v>1.3859999999999999</v>
          </cell>
          <cell r="W524">
            <v>14.014000000000001</v>
          </cell>
          <cell r="X524">
            <v>0.7</v>
          </cell>
          <cell r="Y524">
            <v>14.714</v>
          </cell>
        </row>
        <row r="525">
          <cell r="A525" t="str">
            <v>5818-1</v>
          </cell>
          <cell r="B525">
            <v>42069</v>
          </cell>
          <cell r="C525" t="str">
            <v>2015</v>
          </cell>
          <cell r="D525" t="str">
            <v>Trudy Brown</v>
          </cell>
          <cell r="E525" t="str">
            <v>180 High Street,Windsor</v>
          </cell>
          <cell r="F525" t="str">
            <v>Melbourne</v>
          </cell>
          <cell r="G525" t="str">
            <v>VIC</v>
          </cell>
          <cell r="H525" t="str">
            <v>Small Business</v>
          </cell>
          <cell r="I525" t="str">
            <v>Connor Betts</v>
          </cell>
          <cell r="J525" t="str">
            <v>High</v>
          </cell>
          <cell r="K525" t="str">
            <v>Artisan Printable Repositionable Plastic Tabs</v>
          </cell>
          <cell r="L525" t="str">
            <v>Office Supplies</v>
          </cell>
          <cell r="M525" t="str">
            <v>Small Box</v>
          </cell>
          <cell r="N525" t="str">
            <v>Regular Air</v>
          </cell>
          <cell r="O525">
            <v>42070</v>
          </cell>
          <cell r="P525">
            <v>5.33</v>
          </cell>
          <cell r="Q525">
            <v>8.6</v>
          </cell>
          <cell r="R525">
            <v>3.2699999999999996</v>
          </cell>
          <cell r="S525">
            <v>2</v>
          </cell>
          <cell r="T525">
            <v>17.2</v>
          </cell>
          <cell r="V525">
            <v>0.86</v>
          </cell>
          <cell r="W525">
            <v>16.34</v>
          </cell>
          <cell r="X525">
            <v>6.19</v>
          </cell>
          <cell r="Y525">
            <v>22.53</v>
          </cell>
        </row>
        <row r="526">
          <cell r="A526" t="str">
            <v>5819-1</v>
          </cell>
          <cell r="B526">
            <v>42074</v>
          </cell>
          <cell r="C526" t="str">
            <v>2015</v>
          </cell>
          <cell r="D526" t="str">
            <v>Anthony Garverick</v>
          </cell>
          <cell r="E526" t="str">
            <v>10 Lake Street, Perth</v>
          </cell>
          <cell r="F526" t="str">
            <v>Sydney</v>
          </cell>
          <cell r="G526" t="str">
            <v>NSW</v>
          </cell>
          <cell r="H526" t="str">
            <v>Small Business</v>
          </cell>
          <cell r="I526" t="str">
            <v>Tina Carlton</v>
          </cell>
          <cell r="J526" t="str">
            <v>High</v>
          </cell>
          <cell r="K526" t="str">
            <v>Steady Major Accent Highlighters</v>
          </cell>
          <cell r="L526" t="str">
            <v>Office Supplies</v>
          </cell>
          <cell r="M526" t="str">
            <v>Wrap Bag</v>
          </cell>
          <cell r="N526" t="str">
            <v>Regular Air</v>
          </cell>
          <cell r="O526">
            <v>42075</v>
          </cell>
          <cell r="P526">
            <v>3.75</v>
          </cell>
          <cell r="Q526">
            <v>7.08</v>
          </cell>
          <cell r="R526">
            <v>3.33</v>
          </cell>
          <cell r="S526">
            <v>12</v>
          </cell>
          <cell r="T526">
            <v>84.960000000000008</v>
          </cell>
          <cell r="V526">
            <v>8.4960000000000004</v>
          </cell>
          <cell r="W526">
            <v>76.464000000000013</v>
          </cell>
          <cell r="X526">
            <v>2.35</v>
          </cell>
          <cell r="Y526">
            <v>78.814000000000007</v>
          </cell>
        </row>
        <row r="527">
          <cell r="A527" t="str">
            <v>5821-1</v>
          </cell>
          <cell r="B527">
            <v>42075</v>
          </cell>
          <cell r="C527" t="str">
            <v>2015</v>
          </cell>
          <cell r="D527" t="str">
            <v>Susan Pistek</v>
          </cell>
          <cell r="E527" t="str">
            <v>2a/285A Crown St,Surry Hills</v>
          </cell>
          <cell r="F527" t="str">
            <v>Sydney</v>
          </cell>
          <cell r="G527" t="str">
            <v>NSW</v>
          </cell>
          <cell r="H527" t="str">
            <v>Home Office</v>
          </cell>
          <cell r="I527" t="str">
            <v>Phoebe Gour</v>
          </cell>
          <cell r="J527" t="str">
            <v>Critical</v>
          </cell>
          <cell r="K527" t="str">
            <v>Artisan 481 Labels</v>
          </cell>
          <cell r="L527" t="str">
            <v>Office Supplies</v>
          </cell>
          <cell r="M527" t="str">
            <v>Small Box</v>
          </cell>
          <cell r="N527" t="str">
            <v>Regular Air</v>
          </cell>
          <cell r="O527">
            <v>42076</v>
          </cell>
          <cell r="P527">
            <v>1.94</v>
          </cell>
          <cell r="Q527">
            <v>3.08</v>
          </cell>
          <cell r="R527">
            <v>1.1400000000000001</v>
          </cell>
          <cell r="S527">
            <v>4</v>
          </cell>
          <cell r="T527">
            <v>12.32</v>
          </cell>
          <cell r="V527">
            <v>0.36959999999999998</v>
          </cell>
          <cell r="W527">
            <v>11.9504</v>
          </cell>
          <cell r="X527">
            <v>0.99</v>
          </cell>
          <cell r="Y527">
            <v>12.9404</v>
          </cell>
        </row>
        <row r="528">
          <cell r="A528" t="str">
            <v>5822-1</v>
          </cell>
          <cell r="B528">
            <v>42078</v>
          </cell>
          <cell r="C528" t="str">
            <v>2015</v>
          </cell>
          <cell r="D528" t="str">
            <v>Carlos Soltero</v>
          </cell>
          <cell r="E528" t="str">
            <v>1/41B Elizabeth Bay Rd,Elizabeth Bay</v>
          </cell>
          <cell r="F528" t="str">
            <v>Sydney</v>
          </cell>
          <cell r="G528" t="str">
            <v>NSW</v>
          </cell>
          <cell r="H528" t="str">
            <v>Consumer</v>
          </cell>
          <cell r="I528" t="str">
            <v>Charlie Bui</v>
          </cell>
          <cell r="J528" t="str">
            <v>High</v>
          </cell>
          <cell r="K528" t="str">
            <v>Self-Adhesive Ring Binder Labels</v>
          </cell>
          <cell r="L528" t="str">
            <v>Office Supplies</v>
          </cell>
          <cell r="M528" t="str">
            <v>Small Box</v>
          </cell>
          <cell r="N528" t="str">
            <v>Regular Air</v>
          </cell>
          <cell r="O528">
            <v>42080</v>
          </cell>
          <cell r="P528">
            <v>2.1800000000000002</v>
          </cell>
          <cell r="Q528">
            <v>3.52</v>
          </cell>
          <cell r="R528">
            <v>1.3399999999999999</v>
          </cell>
          <cell r="S528">
            <v>49</v>
          </cell>
          <cell r="T528">
            <v>172.48</v>
          </cell>
          <cell r="V528">
            <v>13.798399999999999</v>
          </cell>
          <cell r="W528">
            <v>158.6816</v>
          </cell>
          <cell r="X528">
            <v>6.83</v>
          </cell>
          <cell r="Y528">
            <v>165.51160000000002</v>
          </cell>
        </row>
        <row r="529">
          <cell r="A529" t="str">
            <v>5824-1</v>
          </cell>
          <cell r="B529">
            <v>42079</v>
          </cell>
          <cell r="C529" t="str">
            <v>2015</v>
          </cell>
          <cell r="D529" t="str">
            <v>Keith Dawkins</v>
          </cell>
          <cell r="E529" t="str">
            <v>402 Argyle St,Moss Vale</v>
          </cell>
          <cell r="F529" t="str">
            <v>Sydney</v>
          </cell>
          <cell r="G529" t="str">
            <v>NSW</v>
          </cell>
          <cell r="H529" t="str">
            <v>Home Office</v>
          </cell>
          <cell r="I529" t="str">
            <v>Natasha Song</v>
          </cell>
          <cell r="J529" t="str">
            <v>Not Specified</v>
          </cell>
          <cell r="K529" t="str">
            <v>Emerson Stylus 1520 Color Inkjet Printer</v>
          </cell>
          <cell r="L529" t="str">
            <v>Technology</v>
          </cell>
          <cell r="M529" t="str">
            <v>Jumbo Drum</v>
          </cell>
          <cell r="N529" t="str">
            <v>Delivery Truck</v>
          </cell>
          <cell r="O529">
            <v>42080</v>
          </cell>
          <cell r="P529">
            <v>315.61</v>
          </cell>
          <cell r="Q529">
            <v>500.97</v>
          </cell>
          <cell r="R529">
            <v>185.36</v>
          </cell>
          <cell r="S529">
            <v>3</v>
          </cell>
          <cell r="T529">
            <v>1502.91</v>
          </cell>
          <cell r="V529">
            <v>90.174599999999998</v>
          </cell>
          <cell r="W529">
            <v>1412.7354</v>
          </cell>
          <cell r="X529">
            <v>69.3</v>
          </cell>
          <cell r="Y529">
            <v>1482.0354</v>
          </cell>
        </row>
        <row r="530">
          <cell r="A530" t="str">
            <v>5826-1</v>
          </cell>
          <cell r="B530">
            <v>42079</v>
          </cell>
          <cell r="C530" t="str">
            <v>2015</v>
          </cell>
          <cell r="D530" t="str">
            <v>Harold Pawlan</v>
          </cell>
          <cell r="E530" t="str">
            <v>180 High Street,Windsor</v>
          </cell>
          <cell r="F530" t="str">
            <v>Melbourne</v>
          </cell>
          <cell r="G530" t="str">
            <v>VIC</v>
          </cell>
          <cell r="H530" t="str">
            <v>Small Business</v>
          </cell>
          <cell r="I530" t="str">
            <v>Connor Betts</v>
          </cell>
          <cell r="J530" t="str">
            <v>High</v>
          </cell>
          <cell r="K530" t="str">
            <v>Multi-Use Personal File Cart and Caster Set, Three Stacking Bins</v>
          </cell>
          <cell r="L530" t="str">
            <v>Office Supplies</v>
          </cell>
          <cell r="M530" t="str">
            <v>Small Box</v>
          </cell>
          <cell r="N530" t="str">
            <v>Regular Air</v>
          </cell>
          <cell r="O530">
            <v>42079</v>
          </cell>
          <cell r="P530">
            <v>14.95</v>
          </cell>
          <cell r="Q530">
            <v>34.76</v>
          </cell>
          <cell r="R530">
            <v>19.809999999999999</v>
          </cell>
          <cell r="S530">
            <v>43</v>
          </cell>
          <cell r="T530">
            <v>1494.6799999999998</v>
          </cell>
          <cell r="V530">
            <v>0</v>
          </cell>
          <cell r="W530">
            <v>1494.6799999999998</v>
          </cell>
          <cell r="X530">
            <v>8.2200000000000006</v>
          </cell>
          <cell r="Y530">
            <v>1502.8999999999999</v>
          </cell>
        </row>
        <row r="531">
          <cell r="A531" t="str">
            <v>5829-1</v>
          </cell>
          <cell r="B531">
            <v>42080</v>
          </cell>
          <cell r="C531" t="str">
            <v>2015</v>
          </cell>
          <cell r="D531" t="str">
            <v>Jonathan Howell</v>
          </cell>
          <cell r="E531" t="str">
            <v>180 High Street,Windsor</v>
          </cell>
          <cell r="F531" t="str">
            <v>Melbourne</v>
          </cell>
          <cell r="G531" t="str">
            <v>VIC</v>
          </cell>
          <cell r="H531" t="str">
            <v>Consumer</v>
          </cell>
          <cell r="I531" t="str">
            <v>Connor Betts</v>
          </cell>
          <cell r="J531" t="str">
            <v>Medium</v>
          </cell>
          <cell r="K531" t="str">
            <v>Xit Blank Computer Paper</v>
          </cell>
          <cell r="L531" t="str">
            <v>Office Supplies</v>
          </cell>
          <cell r="M531" t="str">
            <v>Small Box</v>
          </cell>
          <cell r="N531" t="str">
            <v>Regular Air</v>
          </cell>
          <cell r="O531">
            <v>42080</v>
          </cell>
          <cell r="P531">
            <v>12.39</v>
          </cell>
          <cell r="Q531">
            <v>19.98</v>
          </cell>
          <cell r="R531">
            <v>7.59</v>
          </cell>
          <cell r="S531">
            <v>32</v>
          </cell>
          <cell r="T531">
            <v>639.36</v>
          </cell>
          <cell r="V531">
            <v>31.968000000000004</v>
          </cell>
          <cell r="W531">
            <v>607.39200000000005</v>
          </cell>
          <cell r="X531">
            <v>5.77</v>
          </cell>
          <cell r="Y531">
            <v>613.16200000000003</v>
          </cell>
        </row>
        <row r="532">
          <cell r="A532" t="str">
            <v>5831-1</v>
          </cell>
          <cell r="B532">
            <v>42081</v>
          </cell>
          <cell r="C532" t="str">
            <v>2015</v>
          </cell>
          <cell r="D532" t="str">
            <v>Erin Creighton</v>
          </cell>
          <cell r="E532" t="str">
            <v>523 King St,Newtown</v>
          </cell>
          <cell r="F532" t="str">
            <v>Sydney</v>
          </cell>
          <cell r="G532" t="str">
            <v>NSW</v>
          </cell>
          <cell r="H532" t="str">
            <v>Corporate</v>
          </cell>
          <cell r="I532" t="str">
            <v>Aanya Zhang</v>
          </cell>
          <cell r="J532" t="str">
            <v>Critical</v>
          </cell>
          <cell r="K532" t="str">
            <v>Apex Design Stainless Steel Bent Scissors</v>
          </cell>
          <cell r="L532" t="str">
            <v>Office Supplies</v>
          </cell>
          <cell r="M532" t="str">
            <v>Small Pack</v>
          </cell>
          <cell r="N532" t="str">
            <v>Regular Air</v>
          </cell>
          <cell r="O532">
            <v>42084</v>
          </cell>
          <cell r="P532">
            <v>2.87</v>
          </cell>
          <cell r="Q532">
            <v>6.84</v>
          </cell>
          <cell r="R532">
            <v>3.9699999999999998</v>
          </cell>
          <cell r="S532">
            <v>35</v>
          </cell>
          <cell r="T532">
            <v>239.4</v>
          </cell>
          <cell r="V532">
            <v>4.7880000000000003</v>
          </cell>
          <cell r="W532">
            <v>234.61199999999999</v>
          </cell>
          <cell r="X532">
            <v>4.42</v>
          </cell>
          <cell r="Y532">
            <v>239.03199999999998</v>
          </cell>
        </row>
        <row r="533">
          <cell r="A533" t="str">
            <v>5832-1</v>
          </cell>
          <cell r="B533">
            <v>42083</v>
          </cell>
          <cell r="C533" t="str">
            <v>2015</v>
          </cell>
          <cell r="D533" t="str">
            <v>Sibella Parks</v>
          </cell>
          <cell r="E533" t="str">
            <v>180 High Street,Windsor</v>
          </cell>
          <cell r="F533" t="str">
            <v>Melbourne</v>
          </cell>
          <cell r="G533" t="str">
            <v>VIC</v>
          </cell>
          <cell r="H533" t="str">
            <v>Small Business</v>
          </cell>
          <cell r="I533" t="str">
            <v>Connor Betts</v>
          </cell>
          <cell r="J533" t="str">
            <v>Critical</v>
          </cell>
          <cell r="K533" t="str">
            <v>Alto Keyboard-In-A-Box</v>
          </cell>
          <cell r="L533" t="str">
            <v>Technology</v>
          </cell>
          <cell r="M533" t="str">
            <v>Small Box</v>
          </cell>
          <cell r="N533" t="str">
            <v>Express Air</v>
          </cell>
          <cell r="O533">
            <v>42084</v>
          </cell>
          <cell r="P533">
            <v>6.4</v>
          </cell>
          <cell r="Q533">
            <v>29.1</v>
          </cell>
          <cell r="R533">
            <v>22.700000000000003</v>
          </cell>
          <cell r="S533">
            <v>50</v>
          </cell>
          <cell r="T533">
            <v>1455</v>
          </cell>
          <cell r="V533">
            <v>130.94999999999999</v>
          </cell>
          <cell r="W533">
            <v>1324.05</v>
          </cell>
          <cell r="X533">
            <v>4</v>
          </cell>
          <cell r="Y533">
            <v>1328.05</v>
          </cell>
        </row>
        <row r="534">
          <cell r="A534" t="str">
            <v>5833-1</v>
          </cell>
          <cell r="B534">
            <v>42084</v>
          </cell>
          <cell r="C534" t="str">
            <v>2015</v>
          </cell>
          <cell r="D534" t="str">
            <v>Thais Sissman</v>
          </cell>
          <cell r="E534" t="str">
            <v>8 Orange Street</v>
          </cell>
          <cell r="F534" t="str">
            <v>Perth</v>
          </cell>
          <cell r="G534" t="str">
            <v>WA</v>
          </cell>
          <cell r="H534" t="str">
            <v>Small Business</v>
          </cell>
          <cell r="I534" t="str">
            <v>Tina Carlton</v>
          </cell>
          <cell r="J534" t="str">
            <v>Low</v>
          </cell>
          <cell r="K534" t="str">
            <v>Aluminum Document Frame</v>
          </cell>
          <cell r="L534" t="str">
            <v>Furniture</v>
          </cell>
          <cell r="M534" t="str">
            <v>Small Pack</v>
          </cell>
          <cell r="N534" t="str">
            <v>Regular Air</v>
          </cell>
          <cell r="O534">
            <v>42091</v>
          </cell>
          <cell r="P534">
            <v>5.5</v>
          </cell>
          <cell r="Q534">
            <v>12.22</v>
          </cell>
          <cell r="R534">
            <v>6.7200000000000006</v>
          </cell>
          <cell r="S534">
            <v>5</v>
          </cell>
          <cell r="T534">
            <v>61.1</v>
          </cell>
          <cell r="V534">
            <v>2.444</v>
          </cell>
          <cell r="W534">
            <v>58.655999999999999</v>
          </cell>
          <cell r="X534">
            <v>2.85</v>
          </cell>
          <cell r="Y534">
            <v>61.506</v>
          </cell>
        </row>
        <row r="535">
          <cell r="A535" t="str">
            <v>5834-1</v>
          </cell>
          <cell r="B535">
            <v>42084</v>
          </cell>
          <cell r="C535" t="str">
            <v>2015</v>
          </cell>
          <cell r="D535" t="str">
            <v>Tony Sayre</v>
          </cell>
          <cell r="E535" t="str">
            <v>499-501 Lygon Street,Carlton North</v>
          </cell>
          <cell r="F535" t="str">
            <v>Melbourne</v>
          </cell>
          <cell r="G535" t="str">
            <v>VIC</v>
          </cell>
          <cell r="H535" t="str">
            <v>Small Business</v>
          </cell>
          <cell r="I535" t="str">
            <v>Yvette Biti</v>
          </cell>
          <cell r="J535" t="str">
            <v>Critical</v>
          </cell>
          <cell r="K535" t="str">
            <v>Steady Major Accent Highlighters</v>
          </cell>
          <cell r="L535" t="str">
            <v>Office Supplies</v>
          </cell>
          <cell r="M535" t="str">
            <v>Wrap Bag</v>
          </cell>
          <cell r="N535" t="str">
            <v>Regular Air</v>
          </cell>
          <cell r="O535">
            <v>42085</v>
          </cell>
          <cell r="P535">
            <v>3.75</v>
          </cell>
          <cell r="Q535">
            <v>7.08</v>
          </cell>
          <cell r="R535">
            <v>3.33</v>
          </cell>
          <cell r="S535">
            <v>31</v>
          </cell>
          <cell r="T535">
            <v>219.48</v>
          </cell>
          <cell r="V535">
            <v>2.1947999999999999</v>
          </cell>
          <cell r="W535">
            <v>217.2852</v>
          </cell>
          <cell r="X535">
            <v>2.35</v>
          </cell>
          <cell r="Y535">
            <v>219.6352</v>
          </cell>
        </row>
        <row r="536">
          <cell r="A536" t="str">
            <v>5835-1</v>
          </cell>
          <cell r="B536">
            <v>42085</v>
          </cell>
          <cell r="C536" t="str">
            <v>2015</v>
          </cell>
          <cell r="D536" t="str">
            <v>Tom Ashbrook</v>
          </cell>
          <cell r="E536" t="str">
            <v>Westfield Sydney,Sydney</v>
          </cell>
          <cell r="F536" t="str">
            <v>Sydney</v>
          </cell>
          <cell r="G536" t="str">
            <v>NSW</v>
          </cell>
          <cell r="H536" t="str">
            <v>Home Office</v>
          </cell>
          <cell r="I536" t="str">
            <v>Natasha Song</v>
          </cell>
          <cell r="J536" t="str">
            <v>High</v>
          </cell>
          <cell r="K536" t="str">
            <v>Alto Parchment Paper, Assorted Colors</v>
          </cell>
          <cell r="L536" t="str">
            <v>Office Supplies</v>
          </cell>
          <cell r="M536" t="str">
            <v>Small Box</v>
          </cell>
          <cell r="N536" t="str">
            <v>Express Air</v>
          </cell>
          <cell r="O536">
            <v>42086</v>
          </cell>
          <cell r="P536">
            <v>4.59</v>
          </cell>
          <cell r="Q536">
            <v>7.28</v>
          </cell>
          <cell r="R536">
            <v>2.6900000000000004</v>
          </cell>
          <cell r="S536">
            <v>40</v>
          </cell>
          <cell r="T536">
            <v>291.2</v>
          </cell>
          <cell r="V536">
            <v>11.648</v>
          </cell>
          <cell r="W536">
            <v>279.55199999999996</v>
          </cell>
          <cell r="X536">
            <v>11.15</v>
          </cell>
          <cell r="Y536">
            <v>290.70199999999994</v>
          </cell>
        </row>
        <row r="537">
          <cell r="A537" t="str">
            <v>5837-1</v>
          </cell>
          <cell r="B537">
            <v>42087</v>
          </cell>
          <cell r="C537" t="str">
            <v>2015</v>
          </cell>
          <cell r="D537" t="str">
            <v>Astrea Jones</v>
          </cell>
          <cell r="E537" t="str">
            <v>3/265 Stirling Street, Perth</v>
          </cell>
          <cell r="F537" t="str">
            <v>Sydney</v>
          </cell>
          <cell r="G537" t="str">
            <v>NSW</v>
          </cell>
          <cell r="H537" t="str">
            <v>Corporate</v>
          </cell>
          <cell r="I537" t="str">
            <v>Leighton Forrest</v>
          </cell>
          <cell r="J537" t="str">
            <v>Medium</v>
          </cell>
          <cell r="K537" t="str">
            <v>Artisan Durable Poly Binders</v>
          </cell>
          <cell r="L537" t="str">
            <v>Office Supplies</v>
          </cell>
          <cell r="M537" t="str">
            <v>Small Box</v>
          </cell>
          <cell r="N537" t="str">
            <v>Regular Air</v>
          </cell>
          <cell r="O537">
            <v>42089</v>
          </cell>
          <cell r="P537">
            <v>3.37</v>
          </cell>
          <cell r="Q537">
            <v>5.53</v>
          </cell>
          <cell r="R537">
            <v>2.16</v>
          </cell>
          <cell r="S537">
            <v>23</v>
          </cell>
          <cell r="T537">
            <v>127.19000000000001</v>
          </cell>
          <cell r="V537">
            <v>12.719000000000001</v>
          </cell>
          <cell r="W537">
            <v>114.471</v>
          </cell>
          <cell r="X537">
            <v>6.98</v>
          </cell>
          <cell r="Y537">
            <v>121.45100000000001</v>
          </cell>
        </row>
        <row r="538">
          <cell r="A538" t="str">
            <v>5838-1</v>
          </cell>
          <cell r="B538">
            <v>42087</v>
          </cell>
          <cell r="C538" t="str">
            <v>2015</v>
          </cell>
          <cell r="D538" t="str">
            <v>Brad Norvell</v>
          </cell>
          <cell r="E538" t="str">
            <v>120 Hardware St,Melbourne</v>
          </cell>
          <cell r="F538" t="str">
            <v>Melbourne</v>
          </cell>
          <cell r="G538" t="str">
            <v>VIC</v>
          </cell>
          <cell r="H538" t="str">
            <v>Corporate</v>
          </cell>
          <cell r="I538" t="str">
            <v>Yvette Biti</v>
          </cell>
          <cell r="J538" t="str">
            <v>Critical</v>
          </cell>
          <cell r="K538" t="str">
            <v>Smiths Standard Envelopes</v>
          </cell>
          <cell r="L538" t="str">
            <v>Office Supplies</v>
          </cell>
          <cell r="M538" t="str">
            <v>Small Box</v>
          </cell>
          <cell r="N538" t="str">
            <v>Regular Air</v>
          </cell>
          <cell r="O538">
            <v>42088</v>
          </cell>
          <cell r="P538">
            <v>3.52</v>
          </cell>
          <cell r="Q538">
            <v>5.68</v>
          </cell>
          <cell r="R538">
            <v>2.1599999999999997</v>
          </cell>
          <cell r="S538">
            <v>8</v>
          </cell>
          <cell r="T538">
            <v>45.44</v>
          </cell>
          <cell r="V538">
            <v>0.90879999999999994</v>
          </cell>
          <cell r="W538">
            <v>44.531199999999998</v>
          </cell>
          <cell r="X538">
            <v>1.39</v>
          </cell>
          <cell r="Y538">
            <v>45.921199999999999</v>
          </cell>
        </row>
        <row r="539">
          <cell r="A539" t="str">
            <v>5840-1</v>
          </cell>
          <cell r="B539">
            <v>42088</v>
          </cell>
          <cell r="C539" t="str">
            <v>2015</v>
          </cell>
          <cell r="D539" t="str">
            <v>Ed Braxton</v>
          </cell>
          <cell r="E539" t="str">
            <v>499-501 Lygon Street,Carlton North</v>
          </cell>
          <cell r="F539" t="str">
            <v>Melbourne</v>
          </cell>
          <cell r="G539" t="str">
            <v>VIC</v>
          </cell>
          <cell r="H539" t="str">
            <v>Home Office</v>
          </cell>
          <cell r="I539" t="str">
            <v>Yvette Biti</v>
          </cell>
          <cell r="J539" t="str">
            <v>Not Specified</v>
          </cell>
          <cell r="K539" t="str">
            <v>1726 Digital Answering Machine</v>
          </cell>
          <cell r="L539" t="str">
            <v>Technology</v>
          </cell>
          <cell r="M539" t="str">
            <v>Medium Box</v>
          </cell>
          <cell r="N539" t="str">
            <v>Regular Air</v>
          </cell>
          <cell r="O539">
            <v>42090</v>
          </cell>
          <cell r="P539">
            <v>8.82</v>
          </cell>
          <cell r="Q539">
            <v>20.99</v>
          </cell>
          <cell r="R539">
            <v>12.169999999999998</v>
          </cell>
          <cell r="S539">
            <v>45</v>
          </cell>
          <cell r="T539">
            <v>944.55</v>
          </cell>
          <cell r="V539">
            <v>28.336499999999997</v>
          </cell>
          <cell r="W539">
            <v>916.21349999999995</v>
          </cell>
          <cell r="X539">
            <v>4.8099999999999996</v>
          </cell>
          <cell r="Y539">
            <v>921.0234999999999</v>
          </cell>
        </row>
        <row r="540">
          <cell r="A540" t="str">
            <v>5841-1</v>
          </cell>
          <cell r="B540">
            <v>42088</v>
          </cell>
          <cell r="C540" t="str">
            <v>2015</v>
          </cell>
          <cell r="D540" t="str">
            <v>Erin Creighton</v>
          </cell>
          <cell r="E540" t="str">
            <v>523 King St,Newtown</v>
          </cell>
          <cell r="F540" t="str">
            <v>Sydney</v>
          </cell>
          <cell r="G540" t="str">
            <v>NSW</v>
          </cell>
          <cell r="H540" t="str">
            <v>Corporate</v>
          </cell>
          <cell r="I540" t="str">
            <v>Aanya Zhang</v>
          </cell>
          <cell r="J540" t="str">
            <v>Not Specified</v>
          </cell>
          <cell r="K540" t="str">
            <v>Pizazz Drawing Pencil Set</v>
          </cell>
          <cell r="L540" t="str">
            <v>Office Supplies</v>
          </cell>
          <cell r="M540" t="str">
            <v>Wrap Bag</v>
          </cell>
          <cell r="N540" t="str">
            <v>Express Air</v>
          </cell>
          <cell r="O540">
            <v>42090</v>
          </cell>
          <cell r="P540">
            <v>1.53</v>
          </cell>
          <cell r="Q540">
            <v>2.78</v>
          </cell>
          <cell r="R540">
            <v>1.2499999999999998</v>
          </cell>
          <cell r="S540">
            <v>34</v>
          </cell>
          <cell r="T540">
            <v>94.52</v>
          </cell>
          <cell r="V540">
            <v>0</v>
          </cell>
          <cell r="W540">
            <v>94.52</v>
          </cell>
          <cell r="X540">
            <v>1.34</v>
          </cell>
          <cell r="Y540">
            <v>95.86</v>
          </cell>
        </row>
        <row r="541">
          <cell r="A541" t="str">
            <v>5842-1</v>
          </cell>
          <cell r="B541">
            <v>42093</v>
          </cell>
          <cell r="C541" t="str">
            <v>2015</v>
          </cell>
          <cell r="D541" t="str">
            <v>Mike Kennedy</v>
          </cell>
          <cell r="E541" t="str">
            <v>99 Lygon Street,East Brunswick</v>
          </cell>
          <cell r="F541" t="str">
            <v>Melbourne</v>
          </cell>
          <cell r="G541" t="str">
            <v>VIC</v>
          </cell>
          <cell r="H541" t="str">
            <v>Small Business</v>
          </cell>
          <cell r="I541" t="str">
            <v>Connor Betts</v>
          </cell>
          <cell r="J541" t="str">
            <v>Medium</v>
          </cell>
          <cell r="K541" t="str">
            <v>UGen Ultra Cordless Optical Suite</v>
          </cell>
          <cell r="L541" t="str">
            <v>Technology</v>
          </cell>
          <cell r="M541" t="str">
            <v>Small Box</v>
          </cell>
          <cell r="N541" t="str">
            <v>Regular Air</v>
          </cell>
          <cell r="O541">
            <v>42095</v>
          </cell>
          <cell r="P541">
            <v>54.52</v>
          </cell>
          <cell r="Q541">
            <v>100.97</v>
          </cell>
          <cell r="R541">
            <v>46.449999999999996</v>
          </cell>
          <cell r="S541">
            <v>13</v>
          </cell>
          <cell r="T541">
            <v>1312.61</v>
          </cell>
          <cell r="V541">
            <v>78.756599999999992</v>
          </cell>
          <cell r="W541">
            <v>1233.8534</v>
          </cell>
          <cell r="X541">
            <v>7.18</v>
          </cell>
          <cell r="Y541">
            <v>1241.0334</v>
          </cell>
        </row>
        <row r="542">
          <cell r="A542" t="str">
            <v>5843-1</v>
          </cell>
          <cell r="B542">
            <v>42098</v>
          </cell>
          <cell r="C542" t="str">
            <v>2015</v>
          </cell>
          <cell r="D542" t="str">
            <v>Valerie Mitchum</v>
          </cell>
          <cell r="E542" t="str">
            <v>8/2 Edward Street</v>
          </cell>
          <cell r="F542" t="str">
            <v>Perth</v>
          </cell>
          <cell r="G542" t="str">
            <v>WA</v>
          </cell>
          <cell r="H542" t="str">
            <v>Home Office</v>
          </cell>
          <cell r="I542" t="str">
            <v>Natasha Song</v>
          </cell>
          <cell r="J542" t="str">
            <v>Medium</v>
          </cell>
          <cell r="K542" t="str">
            <v>Cando S750 Color Inkjet Printer</v>
          </cell>
          <cell r="L542" t="str">
            <v>Technology</v>
          </cell>
          <cell r="M542" t="str">
            <v>Jumbo Drum</v>
          </cell>
          <cell r="N542" t="str">
            <v>Delivery Truck</v>
          </cell>
          <cell r="O542">
            <v>42099</v>
          </cell>
          <cell r="P542">
            <v>75</v>
          </cell>
          <cell r="Q542">
            <v>120.97</v>
          </cell>
          <cell r="R542">
            <v>45.97</v>
          </cell>
          <cell r="S542">
            <v>38</v>
          </cell>
          <cell r="T542">
            <v>4596.8599999999997</v>
          </cell>
          <cell r="V542">
            <v>413.71739999999994</v>
          </cell>
          <cell r="W542">
            <v>4183.1426000000001</v>
          </cell>
          <cell r="X542">
            <v>26.3</v>
          </cell>
          <cell r="Y542">
            <v>4209.4426000000003</v>
          </cell>
        </row>
        <row r="543">
          <cell r="A543" t="str">
            <v>5845-1</v>
          </cell>
          <cell r="B543">
            <v>42098</v>
          </cell>
          <cell r="C543" t="str">
            <v>2015</v>
          </cell>
          <cell r="D543" t="str">
            <v>Michael Paige</v>
          </cell>
          <cell r="E543" t="str">
            <v>506 Swan Street,Richmond</v>
          </cell>
          <cell r="F543" t="str">
            <v>Melbourne</v>
          </cell>
          <cell r="G543" t="str">
            <v>VIC</v>
          </cell>
          <cell r="H543" t="str">
            <v>Small Business</v>
          </cell>
          <cell r="I543" t="str">
            <v>Connor Betts</v>
          </cell>
          <cell r="J543" t="str">
            <v>High</v>
          </cell>
          <cell r="K543" t="str">
            <v>Unpadded Memo Slips</v>
          </cell>
          <cell r="L543" t="str">
            <v>Office Supplies</v>
          </cell>
          <cell r="M543" t="str">
            <v>Wrap Bag</v>
          </cell>
          <cell r="N543" t="str">
            <v>Regular Air</v>
          </cell>
          <cell r="O543">
            <v>42099</v>
          </cell>
          <cell r="P543">
            <v>2.59</v>
          </cell>
          <cell r="Q543">
            <v>3.98</v>
          </cell>
          <cell r="R543">
            <v>1.3900000000000001</v>
          </cell>
          <cell r="S543">
            <v>2</v>
          </cell>
          <cell r="T543">
            <v>7.96</v>
          </cell>
          <cell r="V543">
            <v>0.31840000000000002</v>
          </cell>
          <cell r="W543">
            <v>7.6416000000000004</v>
          </cell>
          <cell r="X543">
            <v>2.97</v>
          </cell>
          <cell r="Y543">
            <v>10.611600000000001</v>
          </cell>
        </row>
        <row r="544">
          <cell r="A544" t="str">
            <v>5847-1</v>
          </cell>
          <cell r="B544">
            <v>42102</v>
          </cell>
          <cell r="C544" t="str">
            <v>2015</v>
          </cell>
          <cell r="D544" t="str">
            <v>Carol Triggs</v>
          </cell>
          <cell r="E544" t="str">
            <v>15 Aberdeen Street</v>
          </cell>
          <cell r="F544" t="str">
            <v>Perth</v>
          </cell>
          <cell r="G544" t="str">
            <v>WA</v>
          </cell>
          <cell r="H544" t="str">
            <v>Home Office</v>
          </cell>
          <cell r="I544" t="str">
            <v>Radhya Staples</v>
          </cell>
          <cell r="J544" t="str">
            <v>Critical</v>
          </cell>
          <cell r="K544" t="str">
            <v>Artisan Durable Poly Binders</v>
          </cell>
          <cell r="L544" t="str">
            <v>Office Supplies</v>
          </cell>
          <cell r="M544" t="str">
            <v>Small Box</v>
          </cell>
          <cell r="N544" t="str">
            <v>Regular Air</v>
          </cell>
          <cell r="O544">
            <v>42103</v>
          </cell>
          <cell r="P544">
            <v>3.37</v>
          </cell>
          <cell r="Q544">
            <v>5.53</v>
          </cell>
          <cell r="R544">
            <v>2.16</v>
          </cell>
          <cell r="S544">
            <v>9</v>
          </cell>
          <cell r="T544">
            <v>49.77</v>
          </cell>
          <cell r="V544">
            <v>4.4793000000000003</v>
          </cell>
          <cell r="W544">
            <v>45.290700000000001</v>
          </cell>
          <cell r="X544">
            <v>6.98</v>
          </cell>
          <cell r="Y544">
            <v>52.270700000000005</v>
          </cell>
        </row>
        <row r="545">
          <cell r="A545" t="str">
            <v>5848-1</v>
          </cell>
          <cell r="B545">
            <v>42102</v>
          </cell>
          <cell r="C545" t="str">
            <v>2015</v>
          </cell>
          <cell r="D545" t="str">
            <v>Craig Molinari</v>
          </cell>
          <cell r="E545" t="str">
            <v>Shop 1 797 Botany Rd,Rosebery</v>
          </cell>
          <cell r="F545" t="str">
            <v>Sydney</v>
          </cell>
          <cell r="G545" t="str">
            <v>NSW</v>
          </cell>
          <cell r="H545" t="str">
            <v>Small Business</v>
          </cell>
          <cell r="I545" t="str">
            <v>Phoebe Gour</v>
          </cell>
          <cell r="J545" t="str">
            <v>Not Specified</v>
          </cell>
          <cell r="K545" t="str">
            <v>Wirebound Message Book, 4 per Page</v>
          </cell>
          <cell r="L545" t="str">
            <v>Office Supplies</v>
          </cell>
          <cell r="M545" t="str">
            <v>Wrap Bag</v>
          </cell>
          <cell r="N545" t="str">
            <v>Regular Air</v>
          </cell>
          <cell r="O545">
            <v>42103</v>
          </cell>
          <cell r="P545">
            <v>3.48</v>
          </cell>
          <cell r="Q545">
            <v>5.43</v>
          </cell>
          <cell r="R545">
            <v>1.9499999999999997</v>
          </cell>
          <cell r="S545">
            <v>13</v>
          </cell>
          <cell r="T545">
            <v>70.59</v>
          </cell>
          <cell r="V545">
            <v>1.4118000000000002</v>
          </cell>
          <cell r="W545">
            <v>69.178200000000004</v>
          </cell>
          <cell r="X545">
            <v>0.95</v>
          </cell>
          <cell r="Y545">
            <v>70.128200000000007</v>
          </cell>
        </row>
        <row r="546">
          <cell r="A546" t="str">
            <v>5850-1</v>
          </cell>
          <cell r="B546">
            <v>42104</v>
          </cell>
          <cell r="C546" t="str">
            <v>2015</v>
          </cell>
          <cell r="D546" t="str">
            <v>Bradley Nguyen</v>
          </cell>
          <cell r="E546" t="str">
            <v>Shop 1, 186-190 Church Street,Parramatta;46a Macleay Street,Potts Point</v>
          </cell>
          <cell r="F546" t="str">
            <v>Sydney</v>
          </cell>
          <cell r="G546" t="str">
            <v>NSW</v>
          </cell>
          <cell r="H546" t="str">
            <v>Consumer</v>
          </cell>
          <cell r="I546" t="str">
            <v>Mihael Khan</v>
          </cell>
          <cell r="J546" t="str">
            <v>High</v>
          </cell>
          <cell r="K546" t="str">
            <v>Alto Six-Outlet Power Strip, 4 Cord Length</v>
          </cell>
          <cell r="L546" t="str">
            <v>Office Supplies</v>
          </cell>
          <cell r="M546" t="str">
            <v>Small Box</v>
          </cell>
          <cell r="N546" t="str">
            <v>Regular Air</v>
          </cell>
          <cell r="O546">
            <v>42107</v>
          </cell>
          <cell r="P546">
            <v>3.53</v>
          </cell>
          <cell r="Q546">
            <v>8.6199999999999992</v>
          </cell>
          <cell r="R546">
            <v>5.09</v>
          </cell>
          <cell r="S546">
            <v>50</v>
          </cell>
          <cell r="T546">
            <v>430.99999999999994</v>
          </cell>
          <cell r="V546">
            <v>30.169999999999998</v>
          </cell>
          <cell r="W546">
            <v>400.82999999999993</v>
          </cell>
          <cell r="X546">
            <v>4.5</v>
          </cell>
          <cell r="Y546">
            <v>405.32999999999993</v>
          </cell>
        </row>
        <row r="547">
          <cell r="A547" t="str">
            <v>5852-1</v>
          </cell>
          <cell r="B547">
            <v>42104</v>
          </cell>
          <cell r="C547" t="str">
            <v>2015</v>
          </cell>
          <cell r="D547" t="str">
            <v>Katrina Edelman</v>
          </cell>
          <cell r="E547" t="str">
            <v>Westfield Miranda, 600 Kingsway,Miranda</v>
          </cell>
          <cell r="F547" t="str">
            <v>Sydney</v>
          </cell>
          <cell r="G547" t="str">
            <v>NSW</v>
          </cell>
          <cell r="H547" t="str">
            <v>Corporate</v>
          </cell>
          <cell r="I547" t="str">
            <v>Preston Senome</v>
          </cell>
          <cell r="J547" t="str">
            <v>Critical</v>
          </cell>
          <cell r="K547" t="str">
            <v>Pizazz Drawing Pencil Set</v>
          </cell>
          <cell r="L547" t="str">
            <v>Office Supplies</v>
          </cell>
          <cell r="M547" t="str">
            <v>Wrap Bag</v>
          </cell>
          <cell r="N547" t="str">
            <v>Regular Air</v>
          </cell>
          <cell r="O547">
            <v>42105</v>
          </cell>
          <cell r="P547">
            <v>1.53</v>
          </cell>
          <cell r="Q547">
            <v>2.78</v>
          </cell>
          <cell r="R547">
            <v>1.2499999999999998</v>
          </cell>
          <cell r="S547">
            <v>19</v>
          </cell>
          <cell r="T547">
            <v>52.819999999999993</v>
          </cell>
          <cell r="V547">
            <v>3.1691999999999996</v>
          </cell>
          <cell r="W547">
            <v>49.650799999999997</v>
          </cell>
          <cell r="X547">
            <v>1.34</v>
          </cell>
          <cell r="Y547">
            <v>50.9908</v>
          </cell>
        </row>
        <row r="548">
          <cell r="A548" t="str">
            <v>5854-1</v>
          </cell>
          <cell r="B548">
            <v>42105</v>
          </cell>
          <cell r="C548" t="str">
            <v>2015</v>
          </cell>
          <cell r="D548" t="str">
            <v>Anthony Rawles</v>
          </cell>
          <cell r="E548" t="str">
            <v>10 Lake Street, Perth</v>
          </cell>
          <cell r="F548" t="str">
            <v>Perth</v>
          </cell>
          <cell r="G548" t="str">
            <v>WA</v>
          </cell>
          <cell r="H548" t="str">
            <v>Small Business</v>
          </cell>
          <cell r="I548" t="str">
            <v>Mihael Khan</v>
          </cell>
          <cell r="J548" t="str">
            <v>Medium</v>
          </cell>
          <cell r="K548" t="str">
            <v>TechSavi Access Keyboard</v>
          </cell>
          <cell r="L548" t="str">
            <v>Technology</v>
          </cell>
          <cell r="M548" t="str">
            <v>Small Box</v>
          </cell>
          <cell r="N548" t="str">
            <v>Regular Air</v>
          </cell>
          <cell r="O548">
            <v>42106</v>
          </cell>
          <cell r="P548">
            <v>10.07</v>
          </cell>
          <cell r="Q548">
            <v>15.98</v>
          </cell>
          <cell r="R548">
            <v>5.91</v>
          </cell>
          <cell r="S548">
            <v>40</v>
          </cell>
          <cell r="T548">
            <v>639.20000000000005</v>
          </cell>
          <cell r="V548">
            <v>6.3920000000000003</v>
          </cell>
          <cell r="W548">
            <v>632.80799999999999</v>
          </cell>
          <cell r="X548">
            <v>4</v>
          </cell>
          <cell r="Y548">
            <v>636.80799999999999</v>
          </cell>
        </row>
        <row r="549">
          <cell r="A549" t="str">
            <v>5856-1</v>
          </cell>
          <cell r="B549">
            <v>42107</v>
          </cell>
          <cell r="C549" t="str">
            <v>2015</v>
          </cell>
          <cell r="D549" t="str">
            <v>Alejandro Grove</v>
          </cell>
          <cell r="E549" t="str">
            <v>155 Oxford Street,Darlinghurst</v>
          </cell>
          <cell r="F549" t="str">
            <v>Sydney</v>
          </cell>
          <cell r="G549" t="str">
            <v>NSW</v>
          </cell>
          <cell r="H549" t="str">
            <v>Corporate</v>
          </cell>
          <cell r="I549" t="str">
            <v>Samantha Chairs</v>
          </cell>
          <cell r="J549" t="str">
            <v>High</v>
          </cell>
          <cell r="K549" t="str">
            <v>Artisan Hi-Liter Pen Style Six-Color Fluorescent Set</v>
          </cell>
          <cell r="L549" t="str">
            <v>Office Supplies</v>
          </cell>
          <cell r="M549" t="str">
            <v>Wrap Bag</v>
          </cell>
          <cell r="N549" t="str">
            <v>Regular Air</v>
          </cell>
          <cell r="O549">
            <v>42108</v>
          </cell>
          <cell r="P549">
            <v>2.16</v>
          </cell>
          <cell r="Q549">
            <v>3.85</v>
          </cell>
          <cell r="R549">
            <v>1.69</v>
          </cell>
          <cell r="S549">
            <v>42</v>
          </cell>
          <cell r="T549">
            <v>161.70000000000002</v>
          </cell>
          <cell r="V549">
            <v>1.6170000000000002</v>
          </cell>
          <cell r="W549">
            <v>160.08300000000003</v>
          </cell>
          <cell r="X549">
            <v>0.7</v>
          </cell>
          <cell r="Y549">
            <v>160.78300000000002</v>
          </cell>
        </row>
        <row r="550">
          <cell r="A550" t="str">
            <v>5857-1</v>
          </cell>
          <cell r="B550">
            <v>42112</v>
          </cell>
          <cell r="C550" t="str">
            <v>2015</v>
          </cell>
          <cell r="D550" t="str">
            <v>Philip Brown</v>
          </cell>
          <cell r="E550" t="str">
            <v>499-501 Lygon Street,Carlton North</v>
          </cell>
          <cell r="F550" t="str">
            <v>Melbourne</v>
          </cell>
          <cell r="G550" t="str">
            <v>VIC</v>
          </cell>
          <cell r="H550" t="str">
            <v>Corporate</v>
          </cell>
          <cell r="I550" t="str">
            <v>Yvette Biti</v>
          </cell>
          <cell r="J550" t="str">
            <v>Medium</v>
          </cell>
          <cell r="K550" t="str">
            <v>Artisan Durable Poly Binders</v>
          </cell>
          <cell r="L550" t="str">
            <v>Office Supplies</v>
          </cell>
          <cell r="M550" t="str">
            <v>Small Box</v>
          </cell>
          <cell r="N550" t="str">
            <v>Regular Air</v>
          </cell>
          <cell r="O550">
            <v>42113</v>
          </cell>
          <cell r="P550">
            <v>3.37</v>
          </cell>
          <cell r="Q550">
            <v>5.53</v>
          </cell>
          <cell r="R550">
            <v>2.16</v>
          </cell>
          <cell r="S550">
            <v>30</v>
          </cell>
          <cell r="T550">
            <v>165.9</v>
          </cell>
          <cell r="V550">
            <v>1.659</v>
          </cell>
          <cell r="W550">
            <v>164.24100000000001</v>
          </cell>
          <cell r="X550">
            <v>6.98</v>
          </cell>
          <cell r="Y550">
            <v>171.221</v>
          </cell>
        </row>
        <row r="551">
          <cell r="A551" t="str">
            <v>5859-1</v>
          </cell>
          <cell r="B551">
            <v>42112</v>
          </cell>
          <cell r="C551" t="str">
            <v>2015</v>
          </cell>
          <cell r="D551" t="str">
            <v>Arthur Gainer</v>
          </cell>
          <cell r="E551" t="str">
            <v>14/76 Newcastle Street, Perth</v>
          </cell>
          <cell r="F551" t="str">
            <v>Melbourne</v>
          </cell>
          <cell r="G551" t="str">
            <v>VIC</v>
          </cell>
          <cell r="H551" t="str">
            <v>Corporate</v>
          </cell>
          <cell r="I551" t="str">
            <v>Connor Betts</v>
          </cell>
          <cell r="J551" t="str">
            <v>Medium</v>
          </cell>
          <cell r="K551" t="str">
            <v>Artisan Durable Poly Binders</v>
          </cell>
          <cell r="L551" t="str">
            <v>Office Supplies</v>
          </cell>
          <cell r="M551" t="str">
            <v>Small Box</v>
          </cell>
          <cell r="N551" t="str">
            <v>Regular Air</v>
          </cell>
          <cell r="O551">
            <v>42113</v>
          </cell>
          <cell r="P551">
            <v>3.37</v>
          </cell>
          <cell r="Q551">
            <v>5.53</v>
          </cell>
          <cell r="R551">
            <v>2.16</v>
          </cell>
          <cell r="S551">
            <v>27</v>
          </cell>
          <cell r="T551">
            <v>149.31</v>
          </cell>
          <cell r="V551">
            <v>5.9724000000000004</v>
          </cell>
          <cell r="W551">
            <v>143.33760000000001</v>
          </cell>
          <cell r="X551">
            <v>6.98</v>
          </cell>
          <cell r="Y551">
            <v>150.3176</v>
          </cell>
        </row>
        <row r="552">
          <cell r="A552" t="str">
            <v>5861-1</v>
          </cell>
          <cell r="B552">
            <v>42112</v>
          </cell>
          <cell r="C552" t="str">
            <v>2015</v>
          </cell>
          <cell r="D552" t="str">
            <v>Trudy Schmidt</v>
          </cell>
          <cell r="E552" t="str">
            <v>333-339 Enmore Rd,Marrickville</v>
          </cell>
          <cell r="F552" t="str">
            <v>Sydney</v>
          </cell>
          <cell r="G552" t="str">
            <v>NSW</v>
          </cell>
          <cell r="H552" t="str">
            <v>Small Business</v>
          </cell>
          <cell r="I552" t="str">
            <v>Preston Senome</v>
          </cell>
          <cell r="J552" t="str">
            <v>Medium</v>
          </cell>
          <cell r="K552" t="str">
            <v>Binder Posts</v>
          </cell>
          <cell r="L552" t="str">
            <v>Office Supplies</v>
          </cell>
          <cell r="M552" t="str">
            <v>Small Box</v>
          </cell>
          <cell r="N552" t="str">
            <v>Regular Air</v>
          </cell>
          <cell r="O552">
            <v>42112</v>
          </cell>
          <cell r="P552">
            <v>3.5</v>
          </cell>
          <cell r="Q552">
            <v>5.74</v>
          </cell>
          <cell r="R552">
            <v>2.2400000000000002</v>
          </cell>
          <cell r="S552">
            <v>23</v>
          </cell>
          <cell r="T552">
            <v>132.02000000000001</v>
          </cell>
          <cell r="V552">
            <v>7.9212000000000007</v>
          </cell>
          <cell r="W552">
            <v>124.09880000000001</v>
          </cell>
          <cell r="X552">
            <v>5.01</v>
          </cell>
          <cell r="Y552">
            <v>129.1088</v>
          </cell>
        </row>
        <row r="553">
          <cell r="A553" t="str">
            <v>5863-1</v>
          </cell>
          <cell r="B553">
            <v>42113</v>
          </cell>
          <cell r="C553" t="str">
            <v>2015</v>
          </cell>
          <cell r="D553" t="str">
            <v>Thais Sissman</v>
          </cell>
          <cell r="E553" t="str">
            <v>8 Orange Street</v>
          </cell>
          <cell r="F553" t="str">
            <v>Perth</v>
          </cell>
          <cell r="G553" t="str">
            <v>WA</v>
          </cell>
          <cell r="H553" t="str">
            <v>Corporate</v>
          </cell>
          <cell r="I553" t="str">
            <v>Tina Carlton</v>
          </cell>
          <cell r="J553" t="str">
            <v>Not Specified</v>
          </cell>
          <cell r="K553" t="str">
            <v>Beekin 105-Key Black Keyboard</v>
          </cell>
          <cell r="L553" t="str">
            <v>Technology</v>
          </cell>
          <cell r="M553" t="str">
            <v>Small Box</v>
          </cell>
          <cell r="N553" t="str">
            <v>Express Air</v>
          </cell>
          <cell r="O553">
            <v>42113</v>
          </cell>
          <cell r="P553">
            <v>6.39</v>
          </cell>
          <cell r="Q553">
            <v>19.98</v>
          </cell>
          <cell r="R553">
            <v>13.59</v>
          </cell>
          <cell r="S553">
            <v>6</v>
          </cell>
          <cell r="T553">
            <v>119.88</v>
          </cell>
          <cell r="V553">
            <v>9.5904000000000007</v>
          </cell>
          <cell r="W553">
            <v>110.28959999999999</v>
          </cell>
          <cell r="X553">
            <v>4</v>
          </cell>
          <cell r="Y553">
            <v>114.28959999999999</v>
          </cell>
        </row>
        <row r="554">
          <cell r="A554" t="str">
            <v>5865-1</v>
          </cell>
          <cell r="B554">
            <v>42114</v>
          </cell>
          <cell r="C554" t="str">
            <v>2015</v>
          </cell>
          <cell r="D554" t="str">
            <v>Art Ferguson</v>
          </cell>
          <cell r="E554" t="str">
            <v>14 Money Street, Perth</v>
          </cell>
          <cell r="F554" t="str">
            <v>Sydney</v>
          </cell>
          <cell r="G554" t="str">
            <v>NSW</v>
          </cell>
          <cell r="H554" t="str">
            <v>Corporate</v>
          </cell>
          <cell r="I554" t="str">
            <v>Mihael Khan</v>
          </cell>
          <cell r="J554" t="str">
            <v>High</v>
          </cell>
          <cell r="K554" t="str">
            <v>Artisan Hi-Liter Smear-Safe Highlighters</v>
          </cell>
          <cell r="L554" t="str">
            <v>Office Supplies</v>
          </cell>
          <cell r="M554" t="str">
            <v>Wrap Bag</v>
          </cell>
          <cell r="N554" t="str">
            <v>Express Air</v>
          </cell>
          <cell r="O554">
            <v>42116</v>
          </cell>
          <cell r="P554">
            <v>2.98</v>
          </cell>
          <cell r="Q554">
            <v>5.84</v>
          </cell>
          <cell r="R554">
            <v>2.86</v>
          </cell>
          <cell r="S554">
            <v>12</v>
          </cell>
          <cell r="T554">
            <v>70.08</v>
          </cell>
          <cell r="V554">
            <v>1.4016</v>
          </cell>
          <cell r="W554">
            <v>68.678399999999996</v>
          </cell>
          <cell r="X554">
            <v>0.83</v>
          </cell>
          <cell r="Y554">
            <v>69.508399999999995</v>
          </cell>
        </row>
        <row r="555">
          <cell r="A555" t="str">
            <v>5867-1</v>
          </cell>
          <cell r="B555">
            <v>42117</v>
          </cell>
          <cell r="C555" t="str">
            <v>2015</v>
          </cell>
          <cell r="D555" t="str">
            <v>Deborah Brumfield</v>
          </cell>
          <cell r="E555" t="str">
            <v>501 George St,Sydney</v>
          </cell>
          <cell r="F555" t="str">
            <v>Sydney</v>
          </cell>
          <cell r="G555" t="str">
            <v>NSW</v>
          </cell>
          <cell r="H555" t="str">
            <v>Small Business</v>
          </cell>
          <cell r="I555" t="str">
            <v>Samantha Chairs</v>
          </cell>
          <cell r="J555" t="str">
            <v>High</v>
          </cell>
          <cell r="K555" t="str">
            <v>HFX LaserJet 3310 Copier</v>
          </cell>
          <cell r="L555" t="str">
            <v>Technology</v>
          </cell>
          <cell r="M555" t="str">
            <v>Large Box</v>
          </cell>
          <cell r="N555" t="str">
            <v>Regular Air</v>
          </cell>
          <cell r="O555">
            <v>42117</v>
          </cell>
          <cell r="P555">
            <v>377.99</v>
          </cell>
          <cell r="Q555">
            <v>599.99</v>
          </cell>
          <cell r="R555">
            <v>222</v>
          </cell>
          <cell r="S555">
            <v>50</v>
          </cell>
          <cell r="T555">
            <v>29999.5</v>
          </cell>
          <cell r="V555">
            <v>2699.9549999999999</v>
          </cell>
          <cell r="W555">
            <v>27299.544999999998</v>
          </cell>
          <cell r="X555">
            <v>24.49</v>
          </cell>
          <cell r="Y555">
            <v>27324.035</v>
          </cell>
        </row>
        <row r="556">
          <cell r="A556" t="str">
            <v>5868-1</v>
          </cell>
          <cell r="B556">
            <v>42118</v>
          </cell>
          <cell r="C556" t="str">
            <v>2015</v>
          </cell>
          <cell r="D556" t="str">
            <v>Christopher Schild</v>
          </cell>
          <cell r="E556" t="str">
            <v>4A Lyons St,Strathfield</v>
          </cell>
          <cell r="F556" t="str">
            <v>Sydney</v>
          </cell>
          <cell r="G556" t="str">
            <v>NSW</v>
          </cell>
          <cell r="H556" t="str">
            <v>Corporate</v>
          </cell>
          <cell r="I556" t="str">
            <v>Tina Carlton</v>
          </cell>
          <cell r="J556" t="str">
            <v>Low</v>
          </cell>
          <cell r="K556" t="str">
            <v>Artisan Hi-Liter Fluorescent Desk Style Markers</v>
          </cell>
          <cell r="L556" t="str">
            <v>Office Supplies</v>
          </cell>
          <cell r="M556" t="str">
            <v>Wrap Bag</v>
          </cell>
          <cell r="N556" t="str">
            <v>Regular Air</v>
          </cell>
          <cell r="O556">
            <v>42118</v>
          </cell>
          <cell r="P556">
            <v>1.76</v>
          </cell>
          <cell r="Q556">
            <v>3.38</v>
          </cell>
          <cell r="R556">
            <v>1.6199999999999999</v>
          </cell>
          <cell r="S556">
            <v>31</v>
          </cell>
          <cell r="T556">
            <v>104.78</v>
          </cell>
          <cell r="V556">
            <v>4.1912000000000003</v>
          </cell>
          <cell r="W556">
            <v>100.58880000000001</v>
          </cell>
          <cell r="X556">
            <v>0.85</v>
          </cell>
          <cell r="Y556">
            <v>101.4388</v>
          </cell>
        </row>
        <row r="557">
          <cell r="A557" t="str">
            <v>5869-1</v>
          </cell>
          <cell r="B557">
            <v>42119</v>
          </cell>
          <cell r="C557" t="str">
            <v>2015</v>
          </cell>
          <cell r="D557" t="str">
            <v>Peter McVee</v>
          </cell>
          <cell r="E557" t="str">
            <v>8 Rankins Lane ,Melbourne</v>
          </cell>
          <cell r="F557" t="str">
            <v>Melbourne</v>
          </cell>
          <cell r="G557" t="str">
            <v>VIC</v>
          </cell>
          <cell r="H557" t="str">
            <v>Small Business</v>
          </cell>
          <cell r="I557" t="str">
            <v>Connor Betts</v>
          </cell>
          <cell r="J557" t="str">
            <v>Critical</v>
          </cell>
          <cell r="K557" t="str">
            <v>Bagged Rubber Bands</v>
          </cell>
          <cell r="L557" t="str">
            <v>Office Supplies</v>
          </cell>
          <cell r="M557" t="str">
            <v>Wrap Bag</v>
          </cell>
          <cell r="N557" t="str">
            <v>Regular Air</v>
          </cell>
          <cell r="O557">
            <v>42120</v>
          </cell>
          <cell r="P557">
            <v>0.24</v>
          </cell>
          <cell r="Q557">
            <v>1.26</v>
          </cell>
          <cell r="R557">
            <v>1.02</v>
          </cell>
          <cell r="S557">
            <v>35</v>
          </cell>
          <cell r="T557">
            <v>44.1</v>
          </cell>
          <cell r="V557">
            <v>4.41</v>
          </cell>
          <cell r="W557">
            <v>39.69</v>
          </cell>
          <cell r="X557">
            <v>0.7</v>
          </cell>
          <cell r="Y557">
            <v>40.39</v>
          </cell>
        </row>
        <row r="558">
          <cell r="A558" t="str">
            <v>5869-2</v>
          </cell>
          <cell r="B558">
            <v>42119</v>
          </cell>
          <cell r="C558" t="str">
            <v>2015</v>
          </cell>
          <cell r="D558" t="str">
            <v>Peter McVee</v>
          </cell>
          <cell r="E558" t="str">
            <v>8 Rankins Lane ,Melbourne</v>
          </cell>
          <cell r="F558" t="str">
            <v>Melbourne</v>
          </cell>
          <cell r="G558" t="str">
            <v>VIC</v>
          </cell>
          <cell r="H558" t="str">
            <v>Small Business</v>
          </cell>
          <cell r="I558" t="str">
            <v>Connor Betts</v>
          </cell>
          <cell r="J558" t="str">
            <v>Critical</v>
          </cell>
          <cell r="K558" t="str">
            <v>DrawIt Pizazz Watercolor Pencils, 10-Color Set with Brush</v>
          </cell>
          <cell r="L558" t="str">
            <v>Office Supplies</v>
          </cell>
          <cell r="M558" t="str">
            <v>Wrap Bag</v>
          </cell>
          <cell r="N558" t="str">
            <v>Regular Air</v>
          </cell>
          <cell r="O558">
            <v>42121</v>
          </cell>
          <cell r="P558">
            <v>2.39</v>
          </cell>
          <cell r="Q558">
            <v>4.26</v>
          </cell>
          <cell r="R558">
            <v>1.8699999999999997</v>
          </cell>
          <cell r="S558">
            <v>8</v>
          </cell>
          <cell r="T558">
            <v>34.08</v>
          </cell>
          <cell r="V558">
            <v>3.4079999999999999</v>
          </cell>
          <cell r="W558">
            <v>30.671999999999997</v>
          </cell>
          <cell r="X558">
            <v>1.2</v>
          </cell>
          <cell r="Y558">
            <v>31.871999999999996</v>
          </cell>
        </row>
        <row r="559">
          <cell r="A559" t="str">
            <v>5870-1</v>
          </cell>
          <cell r="B559">
            <v>42119</v>
          </cell>
          <cell r="C559" t="str">
            <v>2015</v>
          </cell>
          <cell r="D559" t="str">
            <v>Frank Carlisle</v>
          </cell>
          <cell r="E559" t="str">
            <v>8 Rankins Lane ,Melbourne</v>
          </cell>
          <cell r="F559" t="str">
            <v>Melbourne</v>
          </cell>
          <cell r="G559" t="str">
            <v>VIC</v>
          </cell>
          <cell r="H559" t="str">
            <v>Small Business</v>
          </cell>
          <cell r="I559" t="str">
            <v>Connor Betts</v>
          </cell>
          <cell r="J559" t="str">
            <v>Critical</v>
          </cell>
          <cell r="K559" t="str">
            <v>Cando PC940 Copier</v>
          </cell>
          <cell r="L559" t="str">
            <v>Technology</v>
          </cell>
          <cell r="M559" t="str">
            <v>Large Box</v>
          </cell>
          <cell r="N559" t="str">
            <v>Regular Air</v>
          </cell>
          <cell r="O559">
            <v>42121</v>
          </cell>
          <cell r="P559">
            <v>216</v>
          </cell>
          <cell r="Q559">
            <v>449.99</v>
          </cell>
          <cell r="R559">
            <v>233.99</v>
          </cell>
          <cell r="S559">
            <v>2</v>
          </cell>
          <cell r="T559">
            <v>899.98</v>
          </cell>
          <cell r="V559">
            <v>71.998400000000004</v>
          </cell>
          <cell r="W559">
            <v>827.98160000000007</v>
          </cell>
          <cell r="X559">
            <v>24.49</v>
          </cell>
          <cell r="Y559">
            <v>852.47160000000008</v>
          </cell>
        </row>
        <row r="560">
          <cell r="A560" t="str">
            <v>5871-1</v>
          </cell>
          <cell r="B560">
            <v>42120</v>
          </cell>
          <cell r="C560" t="str">
            <v>2015</v>
          </cell>
          <cell r="D560" t="str">
            <v>Thomas Boland</v>
          </cell>
          <cell r="E560" t="str">
            <v>18 Robinson Avenue</v>
          </cell>
          <cell r="F560" t="str">
            <v>Perth</v>
          </cell>
          <cell r="G560" t="str">
            <v>WA</v>
          </cell>
          <cell r="H560" t="str">
            <v>Corporate</v>
          </cell>
          <cell r="I560" t="str">
            <v>Mihael Khan</v>
          </cell>
          <cell r="J560" t="str">
            <v>Critical</v>
          </cell>
          <cell r="K560" t="str">
            <v>1726 Digital Answering Machine</v>
          </cell>
          <cell r="L560" t="str">
            <v>Technology</v>
          </cell>
          <cell r="M560" t="str">
            <v>Medium Box</v>
          </cell>
          <cell r="N560" t="str">
            <v>Regular Air</v>
          </cell>
          <cell r="O560">
            <v>42120</v>
          </cell>
          <cell r="P560">
            <v>8.82</v>
          </cell>
          <cell r="Q560">
            <v>20.99</v>
          </cell>
          <cell r="R560">
            <v>12.169999999999998</v>
          </cell>
          <cell r="S560">
            <v>19</v>
          </cell>
          <cell r="T560">
            <v>398.80999999999995</v>
          </cell>
          <cell r="V560">
            <v>3.9880999999999998</v>
          </cell>
          <cell r="W560">
            <v>394.82189999999997</v>
          </cell>
          <cell r="X560">
            <v>4.8099999999999996</v>
          </cell>
          <cell r="Y560">
            <v>399.63189999999997</v>
          </cell>
        </row>
        <row r="561">
          <cell r="A561" t="str">
            <v>5872-1</v>
          </cell>
          <cell r="B561">
            <v>42120</v>
          </cell>
          <cell r="C561" t="str">
            <v>2015</v>
          </cell>
          <cell r="D561" t="str">
            <v>Greg Tran</v>
          </cell>
          <cell r="E561" t="str">
            <v>Crown Complex,Southbank</v>
          </cell>
          <cell r="F561" t="str">
            <v>Melbourne</v>
          </cell>
          <cell r="G561" t="str">
            <v>VIC</v>
          </cell>
          <cell r="H561" t="str">
            <v>Home Office</v>
          </cell>
          <cell r="I561" t="str">
            <v>Yvette Biti</v>
          </cell>
          <cell r="J561" t="str">
            <v>Critical</v>
          </cell>
          <cell r="K561" t="str">
            <v>Artisan Flip-Chart Easel Binder, Black</v>
          </cell>
          <cell r="L561" t="str">
            <v>Office Supplies</v>
          </cell>
          <cell r="M561" t="str">
            <v>Small Box</v>
          </cell>
          <cell r="N561" t="str">
            <v>Regular Air</v>
          </cell>
          <cell r="O561">
            <v>42122</v>
          </cell>
          <cell r="P561">
            <v>13.88</v>
          </cell>
          <cell r="Q561">
            <v>22.38</v>
          </cell>
          <cell r="R561">
            <v>8.4999999999999982</v>
          </cell>
          <cell r="S561">
            <v>6</v>
          </cell>
          <cell r="T561">
            <v>134.28</v>
          </cell>
          <cell r="V561">
            <v>0</v>
          </cell>
          <cell r="W561">
            <v>134.28</v>
          </cell>
          <cell r="X561">
            <v>15.1</v>
          </cell>
          <cell r="Y561">
            <v>149.38</v>
          </cell>
        </row>
        <row r="562">
          <cell r="A562" t="str">
            <v>5873-1</v>
          </cell>
          <cell r="B562">
            <v>42122</v>
          </cell>
          <cell r="C562" t="str">
            <v>2015</v>
          </cell>
          <cell r="D562" t="str">
            <v>Dianna Arnett</v>
          </cell>
          <cell r="E562" t="str">
            <v>99 Lygon Street,East Brunswick</v>
          </cell>
          <cell r="F562" t="str">
            <v>Melbourne</v>
          </cell>
          <cell r="G562" t="str">
            <v>VIC</v>
          </cell>
          <cell r="H562" t="str">
            <v>Home Office</v>
          </cell>
          <cell r="I562" t="str">
            <v>Connor Betts</v>
          </cell>
          <cell r="J562" t="str">
            <v>Low</v>
          </cell>
          <cell r="K562" t="str">
            <v>Artisan Hanging File Binders</v>
          </cell>
          <cell r="L562" t="str">
            <v>Office Supplies</v>
          </cell>
          <cell r="M562" t="str">
            <v>Small Box</v>
          </cell>
          <cell r="N562" t="str">
            <v>Express Air</v>
          </cell>
          <cell r="O562">
            <v>42124</v>
          </cell>
          <cell r="P562">
            <v>3.65</v>
          </cell>
          <cell r="Q562">
            <v>5.98</v>
          </cell>
          <cell r="R562">
            <v>2.3300000000000005</v>
          </cell>
          <cell r="S562">
            <v>50</v>
          </cell>
          <cell r="T562">
            <v>299</v>
          </cell>
          <cell r="V562">
            <v>26.91</v>
          </cell>
          <cell r="W562">
            <v>272.08999999999997</v>
          </cell>
          <cell r="X562">
            <v>1.49</v>
          </cell>
          <cell r="Y562">
            <v>273.58</v>
          </cell>
        </row>
        <row r="563">
          <cell r="A563" t="str">
            <v>5875-1</v>
          </cell>
          <cell r="B563">
            <v>42122</v>
          </cell>
          <cell r="C563" t="str">
            <v>2015</v>
          </cell>
          <cell r="D563" t="str">
            <v>Cindy Schnelling</v>
          </cell>
          <cell r="E563" t="str">
            <v>240-242 Johnston Street,Fitzroy</v>
          </cell>
          <cell r="F563" t="str">
            <v>Melbourne</v>
          </cell>
          <cell r="G563" t="str">
            <v>VIC</v>
          </cell>
          <cell r="H563" t="str">
            <v>Corporate</v>
          </cell>
          <cell r="I563" t="str">
            <v>Connor Betts</v>
          </cell>
          <cell r="J563" t="str">
            <v>Not Specified</v>
          </cell>
          <cell r="K563" t="str">
            <v>Emerson Stylus 1520 Color Inkjet Printer</v>
          </cell>
          <cell r="L563" t="str">
            <v>Technology</v>
          </cell>
          <cell r="M563" t="str">
            <v>Jumbo Drum</v>
          </cell>
          <cell r="N563" t="str">
            <v>Delivery Truck</v>
          </cell>
          <cell r="O563">
            <v>42125</v>
          </cell>
          <cell r="P563">
            <v>315.61</v>
          </cell>
          <cell r="Q563">
            <v>500.97</v>
          </cell>
          <cell r="R563">
            <v>185.36</v>
          </cell>
          <cell r="S563">
            <v>44</v>
          </cell>
          <cell r="T563">
            <v>22042.68</v>
          </cell>
          <cell r="V563">
            <v>1983.8411999999998</v>
          </cell>
          <cell r="W563">
            <v>20058.838800000001</v>
          </cell>
          <cell r="X563">
            <v>69.3</v>
          </cell>
          <cell r="Y563">
            <v>20128.138800000001</v>
          </cell>
        </row>
        <row r="564">
          <cell r="A564" t="str">
            <v>5877-1</v>
          </cell>
          <cell r="B564">
            <v>42123</v>
          </cell>
          <cell r="C564" t="str">
            <v>2015</v>
          </cell>
          <cell r="D564" t="str">
            <v>Chuck Clark</v>
          </cell>
          <cell r="E564" t="str">
            <v>101 Murray Street</v>
          </cell>
          <cell r="F564" t="str">
            <v>Perth</v>
          </cell>
          <cell r="G564" t="str">
            <v>WA</v>
          </cell>
          <cell r="H564" t="str">
            <v>Corporate</v>
          </cell>
          <cell r="I564" t="str">
            <v>Tina Carlton</v>
          </cell>
          <cell r="J564" t="str">
            <v>Low</v>
          </cell>
          <cell r="K564" t="str">
            <v>Artisan 474 Labels</v>
          </cell>
          <cell r="L564" t="str">
            <v>Office Supplies</v>
          </cell>
          <cell r="M564" t="str">
            <v>Small Box</v>
          </cell>
          <cell r="N564" t="str">
            <v>Regular Air</v>
          </cell>
          <cell r="O564">
            <v>42128</v>
          </cell>
          <cell r="P564">
            <v>1.84</v>
          </cell>
          <cell r="Q564">
            <v>2.88</v>
          </cell>
          <cell r="R564">
            <v>1.0399999999999998</v>
          </cell>
          <cell r="S564">
            <v>29</v>
          </cell>
          <cell r="T564">
            <v>83.52</v>
          </cell>
          <cell r="V564">
            <v>2.5055999999999998</v>
          </cell>
          <cell r="W564">
            <v>81.014399999999995</v>
          </cell>
          <cell r="X564">
            <v>0.99</v>
          </cell>
          <cell r="Y564">
            <v>82.00439999999999</v>
          </cell>
        </row>
        <row r="565">
          <cell r="A565" t="str">
            <v>5879-1</v>
          </cell>
          <cell r="B565">
            <v>42124</v>
          </cell>
          <cell r="C565" t="str">
            <v>2015</v>
          </cell>
          <cell r="D565" t="str">
            <v>Pauline Webber</v>
          </cell>
          <cell r="E565" t="str">
            <v>499-501 Lygon Street,Carlton North</v>
          </cell>
          <cell r="F565" t="str">
            <v>Melbourne</v>
          </cell>
          <cell r="G565" t="str">
            <v>VIC</v>
          </cell>
          <cell r="H565" t="str">
            <v>Consumer</v>
          </cell>
          <cell r="I565" t="str">
            <v>Yvette Biti</v>
          </cell>
          <cell r="J565" t="str">
            <v>High</v>
          </cell>
          <cell r="K565" t="str">
            <v>Artisan Poly Binder Pockets</v>
          </cell>
          <cell r="L565" t="str">
            <v>Office Supplies</v>
          </cell>
          <cell r="M565" t="str">
            <v>Small Box</v>
          </cell>
          <cell r="N565" t="str">
            <v>Regular Air</v>
          </cell>
          <cell r="O565">
            <v>42126</v>
          </cell>
          <cell r="P565">
            <v>2.2599999999999998</v>
          </cell>
          <cell r="Q565">
            <v>3.58</v>
          </cell>
          <cell r="R565">
            <v>1.3200000000000003</v>
          </cell>
          <cell r="S565">
            <v>7</v>
          </cell>
          <cell r="T565">
            <v>25.060000000000002</v>
          </cell>
          <cell r="V565">
            <v>2.2554000000000003</v>
          </cell>
          <cell r="W565">
            <v>22.804600000000001</v>
          </cell>
          <cell r="X565">
            <v>5.47</v>
          </cell>
          <cell r="Y565">
            <v>28.2746</v>
          </cell>
        </row>
        <row r="566">
          <cell r="A566" t="str">
            <v>5881-1</v>
          </cell>
          <cell r="B566">
            <v>42125</v>
          </cell>
          <cell r="C566" t="str">
            <v>2015</v>
          </cell>
          <cell r="D566" t="str">
            <v>Chad McGuire</v>
          </cell>
          <cell r="E566" t="str">
            <v>73 MacLeay St,Potts Point</v>
          </cell>
          <cell r="F566" t="str">
            <v>Sydney</v>
          </cell>
          <cell r="G566" t="str">
            <v>NSW</v>
          </cell>
          <cell r="H566" t="str">
            <v>Small Business</v>
          </cell>
          <cell r="I566" t="str">
            <v>Natasha Song</v>
          </cell>
          <cell r="J566" t="str">
            <v>Not Specified</v>
          </cell>
          <cell r="K566" t="str">
            <v>Smiths File Caddy</v>
          </cell>
          <cell r="L566" t="str">
            <v>Office Supplies</v>
          </cell>
          <cell r="M566" t="str">
            <v>Small Box</v>
          </cell>
          <cell r="N566" t="str">
            <v>Regular Air</v>
          </cell>
          <cell r="O566">
            <v>42126</v>
          </cell>
          <cell r="P566">
            <v>4.03</v>
          </cell>
          <cell r="Q566">
            <v>9.3800000000000008</v>
          </cell>
          <cell r="R566">
            <v>5.3500000000000005</v>
          </cell>
          <cell r="S566">
            <v>31</v>
          </cell>
          <cell r="T566">
            <v>290.78000000000003</v>
          </cell>
          <cell r="V566">
            <v>23.262400000000003</v>
          </cell>
          <cell r="W566">
            <v>267.51760000000002</v>
          </cell>
          <cell r="X566">
            <v>7.28</v>
          </cell>
          <cell r="Y566">
            <v>274.79759999999999</v>
          </cell>
        </row>
        <row r="567">
          <cell r="A567" t="str">
            <v>5882-1</v>
          </cell>
          <cell r="B567">
            <v>42126</v>
          </cell>
          <cell r="C567" t="str">
            <v>2015</v>
          </cell>
          <cell r="D567" t="str">
            <v>Denny Blanton</v>
          </cell>
          <cell r="E567" t="str">
            <v>105 Pitt St,Sydney</v>
          </cell>
          <cell r="F567" t="str">
            <v>Sydney</v>
          </cell>
          <cell r="G567" t="str">
            <v>NSW</v>
          </cell>
          <cell r="H567" t="str">
            <v>Home Office</v>
          </cell>
          <cell r="I567" t="str">
            <v>Charlie Bui</v>
          </cell>
          <cell r="J567" t="str">
            <v>Critical</v>
          </cell>
          <cell r="K567" t="str">
            <v>Apex Elite Stainless Steel Scissors</v>
          </cell>
          <cell r="L567" t="str">
            <v>Office Supplies</v>
          </cell>
          <cell r="M567" t="str">
            <v>Small Pack</v>
          </cell>
          <cell r="N567" t="str">
            <v>Regular Air</v>
          </cell>
          <cell r="O567">
            <v>42127</v>
          </cell>
          <cell r="P567">
            <v>3.42</v>
          </cell>
          <cell r="Q567">
            <v>8.34</v>
          </cell>
          <cell r="R567">
            <v>4.92</v>
          </cell>
          <cell r="S567">
            <v>21</v>
          </cell>
          <cell r="T567">
            <v>175.14</v>
          </cell>
          <cell r="V567">
            <v>5.2541999999999991</v>
          </cell>
          <cell r="W567">
            <v>169.88579999999999</v>
          </cell>
          <cell r="X567">
            <v>2.64</v>
          </cell>
          <cell r="Y567">
            <v>172.52579999999998</v>
          </cell>
        </row>
        <row r="568">
          <cell r="A568" t="str">
            <v>5884-1</v>
          </cell>
          <cell r="B568">
            <v>42127</v>
          </cell>
          <cell r="C568" t="str">
            <v>2015</v>
          </cell>
          <cell r="D568" t="str">
            <v>Suzanne McNair</v>
          </cell>
          <cell r="E568" t="str">
            <v>Crown Complex,Southbank</v>
          </cell>
          <cell r="F568" t="str">
            <v>Melbourne</v>
          </cell>
          <cell r="G568" t="str">
            <v>VIC</v>
          </cell>
          <cell r="H568" t="str">
            <v>Corporate</v>
          </cell>
          <cell r="I568" t="str">
            <v>Connor Betts</v>
          </cell>
          <cell r="J568" t="str">
            <v>Critical</v>
          </cell>
          <cell r="K568" t="str">
            <v>TechSavi Access Keyboard</v>
          </cell>
          <cell r="L568" t="str">
            <v>Technology</v>
          </cell>
          <cell r="M568" t="str">
            <v>Small Box</v>
          </cell>
          <cell r="N568" t="str">
            <v>Regular Air</v>
          </cell>
          <cell r="O568">
            <v>42129</v>
          </cell>
          <cell r="P568">
            <v>10.07</v>
          </cell>
          <cell r="Q568">
            <v>15.98</v>
          </cell>
          <cell r="R568">
            <v>5.91</v>
          </cell>
          <cell r="S568">
            <v>26</v>
          </cell>
          <cell r="T568">
            <v>415.48</v>
          </cell>
          <cell r="V568">
            <v>12.464399999999999</v>
          </cell>
          <cell r="W568">
            <v>403.01560000000001</v>
          </cell>
          <cell r="X568">
            <v>4</v>
          </cell>
          <cell r="Y568">
            <v>407.01560000000001</v>
          </cell>
        </row>
        <row r="569">
          <cell r="A569" t="str">
            <v>5885-1</v>
          </cell>
          <cell r="B569">
            <v>42128</v>
          </cell>
          <cell r="C569" t="str">
            <v>2015</v>
          </cell>
          <cell r="D569" t="str">
            <v>Guy Armstrong</v>
          </cell>
          <cell r="E569" t="str">
            <v>6 Mary St,Newtown</v>
          </cell>
          <cell r="F569" t="str">
            <v>Sydney</v>
          </cell>
          <cell r="G569" t="str">
            <v>NSW</v>
          </cell>
          <cell r="H569" t="str">
            <v>Corporate</v>
          </cell>
          <cell r="I569" t="str">
            <v>Samantha Chairs</v>
          </cell>
          <cell r="J569" t="str">
            <v>High</v>
          </cell>
          <cell r="K569" t="str">
            <v>24 Capacity Maxi Data Binder Racks, Pearl</v>
          </cell>
          <cell r="L569" t="str">
            <v>Office Supplies</v>
          </cell>
          <cell r="M569" t="str">
            <v>Small Box</v>
          </cell>
          <cell r="N569" t="str">
            <v>Regular Air</v>
          </cell>
          <cell r="O569">
            <v>42129</v>
          </cell>
          <cell r="P569">
            <v>84.22</v>
          </cell>
          <cell r="Q569">
            <v>210.55</v>
          </cell>
          <cell r="R569">
            <v>126.33000000000001</v>
          </cell>
          <cell r="S569">
            <v>18</v>
          </cell>
          <cell r="T569">
            <v>3789.9</v>
          </cell>
          <cell r="V569">
            <v>189.495</v>
          </cell>
          <cell r="W569">
            <v>3600.4050000000002</v>
          </cell>
          <cell r="X569">
            <v>9.99</v>
          </cell>
          <cell r="Y569">
            <v>3610.395</v>
          </cell>
        </row>
        <row r="570">
          <cell r="A570" t="str">
            <v>5886-1</v>
          </cell>
          <cell r="B570">
            <v>42130</v>
          </cell>
          <cell r="C570" t="str">
            <v>2015</v>
          </cell>
          <cell r="D570" t="str">
            <v>Michelle Lonsdale</v>
          </cell>
          <cell r="E570" t="str">
            <v>180 High Street,Windsor</v>
          </cell>
          <cell r="F570" t="str">
            <v>Melbourne</v>
          </cell>
          <cell r="G570" t="str">
            <v>VIC</v>
          </cell>
          <cell r="H570" t="str">
            <v>Home Office</v>
          </cell>
          <cell r="I570" t="str">
            <v>Connor Betts</v>
          </cell>
          <cell r="J570" t="str">
            <v>Low</v>
          </cell>
          <cell r="K570" t="str">
            <v>Artisan Flip-Chart Easel Binder, Black</v>
          </cell>
          <cell r="L570" t="str">
            <v>Office Supplies</v>
          </cell>
          <cell r="M570" t="str">
            <v>Small Box</v>
          </cell>
          <cell r="N570" t="str">
            <v>Regular Air</v>
          </cell>
          <cell r="O570">
            <v>42132</v>
          </cell>
          <cell r="P570">
            <v>13.88</v>
          </cell>
          <cell r="Q570">
            <v>22.38</v>
          </cell>
          <cell r="R570">
            <v>8.4999999999999982</v>
          </cell>
          <cell r="S570">
            <v>45</v>
          </cell>
          <cell r="T570">
            <v>1007.0999999999999</v>
          </cell>
          <cell r="V570">
            <v>50.354999999999997</v>
          </cell>
          <cell r="W570">
            <v>956.74499999999989</v>
          </cell>
          <cell r="X570">
            <v>15.1</v>
          </cell>
          <cell r="Y570">
            <v>971.84499999999991</v>
          </cell>
        </row>
        <row r="571">
          <cell r="A571" t="str">
            <v>5887-1</v>
          </cell>
          <cell r="B571">
            <v>42134</v>
          </cell>
          <cell r="C571" t="str">
            <v>2015</v>
          </cell>
          <cell r="D571" t="str">
            <v>Thomas Boland</v>
          </cell>
          <cell r="E571" t="str">
            <v>18 Robinson Avenue</v>
          </cell>
          <cell r="F571" t="str">
            <v>Perth</v>
          </cell>
          <cell r="G571" t="str">
            <v>WA</v>
          </cell>
          <cell r="H571" t="str">
            <v>Corporate</v>
          </cell>
          <cell r="I571" t="str">
            <v>Mihael Khan</v>
          </cell>
          <cell r="J571" t="str">
            <v>Not Specified</v>
          </cell>
          <cell r="K571" t="str">
            <v>UGen Ultra Cordless Optical Suite</v>
          </cell>
          <cell r="L571" t="str">
            <v>Technology</v>
          </cell>
          <cell r="M571" t="str">
            <v>Small Box</v>
          </cell>
          <cell r="N571" t="str">
            <v>Regular Air</v>
          </cell>
          <cell r="O571">
            <v>42135</v>
          </cell>
          <cell r="P571">
            <v>54.52</v>
          </cell>
          <cell r="Q571">
            <v>100.97</v>
          </cell>
          <cell r="R571">
            <v>46.449999999999996</v>
          </cell>
          <cell r="S571">
            <v>15</v>
          </cell>
          <cell r="T571">
            <v>1514.55</v>
          </cell>
          <cell r="V571">
            <v>151.45500000000001</v>
          </cell>
          <cell r="W571">
            <v>1363.095</v>
          </cell>
          <cell r="X571">
            <v>7.18</v>
          </cell>
          <cell r="Y571">
            <v>1370.2750000000001</v>
          </cell>
        </row>
        <row r="572">
          <cell r="A572" t="str">
            <v>5888-1</v>
          </cell>
          <cell r="B572">
            <v>42135</v>
          </cell>
          <cell r="C572" t="str">
            <v>2015</v>
          </cell>
          <cell r="D572" t="str">
            <v>Bill Stewart</v>
          </cell>
          <cell r="E572" t="str">
            <v>18 Robinson Avenue, Perth</v>
          </cell>
          <cell r="F572" t="str">
            <v>Sydney</v>
          </cell>
          <cell r="G572" t="str">
            <v>NSW</v>
          </cell>
          <cell r="H572" t="str">
            <v>Corporate</v>
          </cell>
          <cell r="I572" t="str">
            <v>Tina Carlton</v>
          </cell>
          <cell r="J572" t="str">
            <v>Medium</v>
          </cell>
          <cell r="K572" t="str">
            <v>Apex Box Cutter Scissors</v>
          </cell>
          <cell r="L572" t="str">
            <v>Office Supplies</v>
          </cell>
          <cell r="M572" t="str">
            <v>Small Pack</v>
          </cell>
          <cell r="N572" t="str">
            <v>Regular Air</v>
          </cell>
          <cell r="O572">
            <v>42137</v>
          </cell>
          <cell r="P572">
            <v>4.1900000000000004</v>
          </cell>
          <cell r="Q572">
            <v>10.23</v>
          </cell>
          <cell r="R572">
            <v>6.04</v>
          </cell>
          <cell r="S572">
            <v>46</v>
          </cell>
          <cell r="T572">
            <v>470.58000000000004</v>
          </cell>
          <cell r="V572">
            <v>23.529000000000003</v>
          </cell>
          <cell r="W572">
            <v>447.05100000000004</v>
          </cell>
          <cell r="X572">
            <v>4.68</v>
          </cell>
          <cell r="Y572">
            <v>451.73100000000005</v>
          </cell>
        </row>
        <row r="573">
          <cell r="A573" t="str">
            <v>5888-2</v>
          </cell>
          <cell r="B573">
            <v>42135</v>
          </cell>
          <cell r="C573" t="str">
            <v>2015</v>
          </cell>
          <cell r="D573" t="str">
            <v>Bill Stewart</v>
          </cell>
          <cell r="E573" t="str">
            <v>18 Robinson Avenue, Perth</v>
          </cell>
          <cell r="F573" t="str">
            <v>Sydney</v>
          </cell>
          <cell r="G573" t="str">
            <v>NSW</v>
          </cell>
          <cell r="H573" t="str">
            <v>Corporate</v>
          </cell>
          <cell r="I573" t="str">
            <v>Tina Carlton</v>
          </cell>
          <cell r="J573" t="str">
            <v>Medium</v>
          </cell>
          <cell r="K573" t="str">
            <v>Artisan Hanging File Binders</v>
          </cell>
          <cell r="L573" t="str">
            <v>Office Supplies</v>
          </cell>
          <cell r="M573" t="str">
            <v>Small Box</v>
          </cell>
          <cell r="N573" t="str">
            <v>Regular Air</v>
          </cell>
          <cell r="O573">
            <v>42137</v>
          </cell>
          <cell r="P573">
            <v>3.65</v>
          </cell>
          <cell r="Q573">
            <v>5.98</v>
          </cell>
          <cell r="R573">
            <v>2.3300000000000005</v>
          </cell>
          <cell r="S573">
            <v>4</v>
          </cell>
          <cell r="T573">
            <v>23.92</v>
          </cell>
          <cell r="V573">
            <v>1.6744000000000003</v>
          </cell>
          <cell r="W573">
            <v>22.245600000000003</v>
          </cell>
          <cell r="X573">
            <v>1.49</v>
          </cell>
          <cell r="Y573">
            <v>23.735600000000002</v>
          </cell>
        </row>
        <row r="574">
          <cell r="A574" t="str">
            <v>5891-1</v>
          </cell>
          <cell r="B574">
            <v>42136</v>
          </cell>
          <cell r="C574" t="str">
            <v>2015</v>
          </cell>
          <cell r="D574" t="str">
            <v>Sean ODonnell</v>
          </cell>
          <cell r="E574" t="str">
            <v>541 Church St ,Richmond</v>
          </cell>
          <cell r="F574" t="str">
            <v>Melbourne</v>
          </cell>
          <cell r="G574" t="str">
            <v>VIC</v>
          </cell>
          <cell r="H574" t="str">
            <v>Corporate</v>
          </cell>
          <cell r="I574" t="str">
            <v>Yvette Biti</v>
          </cell>
          <cell r="J574" t="str">
            <v>High</v>
          </cell>
          <cell r="K574" t="str">
            <v>Adams "While You Were Out" Message Pads</v>
          </cell>
          <cell r="L574" t="str">
            <v>Office Supplies</v>
          </cell>
          <cell r="M574" t="str">
            <v>Wrap Bag</v>
          </cell>
          <cell r="N574" t="str">
            <v>Regular Air</v>
          </cell>
          <cell r="O574">
            <v>42138</v>
          </cell>
          <cell r="P574">
            <v>1.88</v>
          </cell>
          <cell r="Q574">
            <v>3.14</v>
          </cell>
          <cell r="R574">
            <v>1.2600000000000002</v>
          </cell>
          <cell r="S574">
            <v>50</v>
          </cell>
          <cell r="T574">
            <v>157</v>
          </cell>
          <cell r="V574">
            <v>0</v>
          </cell>
          <cell r="W574">
            <v>157</v>
          </cell>
          <cell r="X574">
            <v>1.1399999999999999</v>
          </cell>
          <cell r="Y574">
            <v>158.13999999999999</v>
          </cell>
        </row>
        <row r="575">
          <cell r="A575" t="str">
            <v>5893-1</v>
          </cell>
          <cell r="B575">
            <v>42138</v>
          </cell>
          <cell r="C575" t="str">
            <v>2015</v>
          </cell>
          <cell r="D575" t="str">
            <v>Ricardo Block</v>
          </cell>
          <cell r="E575" t="str">
            <v>106 Ebley Street,Bondi Junction</v>
          </cell>
          <cell r="F575" t="str">
            <v>Sydney</v>
          </cell>
          <cell r="G575" t="str">
            <v>NSW</v>
          </cell>
          <cell r="H575" t="str">
            <v>Corporate</v>
          </cell>
          <cell r="I575" t="str">
            <v>Leighton Forrest</v>
          </cell>
          <cell r="J575" t="str">
            <v>Medium</v>
          </cell>
          <cell r="K575" t="str">
            <v>Bagged Rubber Bands</v>
          </cell>
          <cell r="L575" t="str">
            <v>Office Supplies</v>
          </cell>
          <cell r="M575" t="str">
            <v>Wrap Bag</v>
          </cell>
          <cell r="N575" t="str">
            <v>Express Air</v>
          </cell>
          <cell r="O575">
            <v>42138</v>
          </cell>
          <cell r="P575">
            <v>0.24</v>
          </cell>
          <cell r="Q575">
            <v>1.26</v>
          </cell>
          <cell r="R575">
            <v>1.02</v>
          </cell>
          <cell r="S575">
            <v>35</v>
          </cell>
          <cell r="T575">
            <v>44.1</v>
          </cell>
          <cell r="V575">
            <v>2.6459999999999999</v>
          </cell>
          <cell r="W575">
            <v>41.454000000000001</v>
          </cell>
          <cell r="X575">
            <v>0.7</v>
          </cell>
          <cell r="Y575">
            <v>42.154000000000003</v>
          </cell>
        </row>
        <row r="576">
          <cell r="A576" t="str">
            <v>5894-1</v>
          </cell>
          <cell r="B576">
            <v>42138</v>
          </cell>
          <cell r="C576" t="str">
            <v>2015</v>
          </cell>
          <cell r="D576" t="str">
            <v>Shui Tom</v>
          </cell>
          <cell r="E576" t="str">
            <v>1 John Street,Waterloo</v>
          </cell>
          <cell r="F576" t="str">
            <v>Sydney</v>
          </cell>
          <cell r="G576" t="str">
            <v>NSW</v>
          </cell>
          <cell r="H576" t="str">
            <v>Home Office</v>
          </cell>
          <cell r="I576" t="str">
            <v>Charlie Bui</v>
          </cell>
          <cell r="J576" t="str">
            <v>High</v>
          </cell>
          <cell r="K576" t="str">
            <v>Deluxe Rollaway Locking File with Drawer</v>
          </cell>
          <cell r="L576" t="str">
            <v>Office Supplies</v>
          </cell>
          <cell r="M576" t="str">
            <v>Small Box</v>
          </cell>
          <cell r="N576" t="str">
            <v>Regular Air</v>
          </cell>
          <cell r="O576">
            <v>42140</v>
          </cell>
          <cell r="P576">
            <v>178.83</v>
          </cell>
          <cell r="Q576">
            <v>415.88</v>
          </cell>
          <cell r="R576">
            <v>237.04999999999998</v>
          </cell>
          <cell r="S576">
            <v>11</v>
          </cell>
          <cell r="T576">
            <v>4574.68</v>
          </cell>
          <cell r="V576">
            <v>274.48079999999999</v>
          </cell>
          <cell r="W576">
            <v>4300.1992</v>
          </cell>
          <cell r="X576">
            <v>11.37</v>
          </cell>
          <cell r="Y576">
            <v>4311.5691999999999</v>
          </cell>
        </row>
        <row r="577">
          <cell r="A577" t="str">
            <v>5896-1</v>
          </cell>
          <cell r="B577">
            <v>42139</v>
          </cell>
          <cell r="C577" t="str">
            <v>2015</v>
          </cell>
          <cell r="D577" t="str">
            <v>Penelope Sewall</v>
          </cell>
          <cell r="E577" t="str">
            <v>96 Liverpool St,Sydney</v>
          </cell>
          <cell r="F577" t="str">
            <v>Sydney</v>
          </cell>
          <cell r="G577" t="str">
            <v>NSW</v>
          </cell>
          <cell r="H577" t="str">
            <v>Home Office</v>
          </cell>
          <cell r="I577" t="str">
            <v>Samantha Chairs</v>
          </cell>
          <cell r="J577" t="str">
            <v>High</v>
          </cell>
          <cell r="K577" t="str">
            <v>Apex Straight Scissors</v>
          </cell>
          <cell r="L577" t="str">
            <v>Office Supplies</v>
          </cell>
          <cell r="M577" t="str">
            <v>Small Pack</v>
          </cell>
          <cell r="N577" t="str">
            <v>Regular Air</v>
          </cell>
          <cell r="O577">
            <v>42141</v>
          </cell>
          <cell r="P577">
            <v>5.19</v>
          </cell>
          <cell r="Q577">
            <v>12.98</v>
          </cell>
          <cell r="R577">
            <v>7.79</v>
          </cell>
          <cell r="S577">
            <v>23</v>
          </cell>
          <cell r="T577">
            <v>298.54000000000002</v>
          </cell>
          <cell r="V577">
            <v>2.9854000000000003</v>
          </cell>
          <cell r="W577">
            <v>295.55459999999999</v>
          </cell>
          <cell r="X577">
            <v>3.14</v>
          </cell>
          <cell r="Y577">
            <v>298.69459999999998</v>
          </cell>
        </row>
        <row r="578">
          <cell r="A578" t="str">
            <v>5898-1</v>
          </cell>
          <cell r="B578">
            <v>42141</v>
          </cell>
          <cell r="C578" t="str">
            <v>2015</v>
          </cell>
          <cell r="D578" t="str">
            <v>Frank Hawley</v>
          </cell>
          <cell r="E578" t="str">
            <v>Shop 1 797 Botany Rd,Rosebery</v>
          </cell>
          <cell r="F578" t="str">
            <v>Sydney</v>
          </cell>
          <cell r="G578" t="str">
            <v>NSW</v>
          </cell>
          <cell r="H578" t="str">
            <v>Home Office</v>
          </cell>
          <cell r="I578" t="str">
            <v>Phoebe Gour</v>
          </cell>
          <cell r="J578" t="str">
            <v>Not Specified</v>
          </cell>
          <cell r="K578" t="str">
            <v>Xit Blank Computer Paper</v>
          </cell>
          <cell r="L578" t="str">
            <v>Office Supplies</v>
          </cell>
          <cell r="M578" t="str">
            <v>Small Box</v>
          </cell>
          <cell r="N578" t="str">
            <v>Regular Air</v>
          </cell>
          <cell r="O578">
            <v>42144</v>
          </cell>
          <cell r="P578">
            <v>12.39</v>
          </cell>
          <cell r="Q578">
            <v>19.98</v>
          </cell>
          <cell r="R578">
            <v>7.59</v>
          </cell>
          <cell r="S578">
            <v>33</v>
          </cell>
          <cell r="T578">
            <v>659.34</v>
          </cell>
          <cell r="V578">
            <v>59.340600000000002</v>
          </cell>
          <cell r="W578">
            <v>599.99940000000004</v>
          </cell>
          <cell r="X578">
            <v>5.77</v>
          </cell>
          <cell r="Y578">
            <v>605.76940000000002</v>
          </cell>
        </row>
        <row r="579">
          <cell r="A579" t="str">
            <v>5899-1</v>
          </cell>
          <cell r="B579">
            <v>42142</v>
          </cell>
          <cell r="C579" t="str">
            <v>2015</v>
          </cell>
          <cell r="D579" t="str">
            <v>Roy Collins</v>
          </cell>
          <cell r="E579" t="str">
            <v>6 Brookman Street</v>
          </cell>
          <cell r="F579" t="str">
            <v>Perth</v>
          </cell>
          <cell r="G579" t="str">
            <v>WA</v>
          </cell>
          <cell r="H579" t="str">
            <v>Corporate</v>
          </cell>
          <cell r="I579" t="str">
            <v>Natasha Song</v>
          </cell>
          <cell r="J579" t="str">
            <v>Not Specified</v>
          </cell>
          <cell r="K579" t="str">
            <v>TypeRight Side-Opening Peel &amp; Seel Expanding Envelopes</v>
          </cell>
          <cell r="L579" t="str">
            <v>Office Supplies</v>
          </cell>
          <cell r="M579" t="str">
            <v>Small Box</v>
          </cell>
          <cell r="N579" t="str">
            <v>Regular Air</v>
          </cell>
          <cell r="O579">
            <v>42144</v>
          </cell>
          <cell r="P579">
            <v>54.29</v>
          </cell>
          <cell r="Q579">
            <v>90.48</v>
          </cell>
          <cell r="R579">
            <v>36.190000000000005</v>
          </cell>
          <cell r="S579">
            <v>11</v>
          </cell>
          <cell r="T579">
            <v>995.28000000000009</v>
          </cell>
          <cell r="V579">
            <v>39.811200000000007</v>
          </cell>
          <cell r="W579">
            <v>955.4688000000001</v>
          </cell>
          <cell r="X579">
            <v>19.989999999999998</v>
          </cell>
          <cell r="Y579">
            <v>975.45880000000011</v>
          </cell>
        </row>
        <row r="580">
          <cell r="A580" t="str">
            <v>5900-1</v>
          </cell>
          <cell r="B580">
            <v>42142</v>
          </cell>
          <cell r="C580" t="str">
            <v>2015</v>
          </cell>
          <cell r="D580" t="str">
            <v>Sibella Parks</v>
          </cell>
          <cell r="E580" t="str">
            <v>180 High Street,Windsor</v>
          </cell>
          <cell r="F580" t="str">
            <v>Melbourne</v>
          </cell>
          <cell r="G580" t="str">
            <v>VIC</v>
          </cell>
          <cell r="H580" t="str">
            <v>Small Business</v>
          </cell>
          <cell r="I580" t="str">
            <v>Connor Betts</v>
          </cell>
          <cell r="J580" t="str">
            <v>Not Specified</v>
          </cell>
          <cell r="K580" t="str">
            <v>Artisan Reinforcements for Hole-Punch Pages</v>
          </cell>
          <cell r="L580" t="str">
            <v>Office Supplies</v>
          </cell>
          <cell r="M580" t="str">
            <v>Small Box</v>
          </cell>
          <cell r="N580" t="str">
            <v>Regular Air</v>
          </cell>
          <cell r="O580">
            <v>42142</v>
          </cell>
          <cell r="P580">
            <v>1.19</v>
          </cell>
          <cell r="Q580">
            <v>1.98</v>
          </cell>
          <cell r="R580">
            <v>0.79</v>
          </cell>
          <cell r="S580">
            <v>29</v>
          </cell>
          <cell r="T580">
            <v>57.42</v>
          </cell>
          <cell r="V580">
            <v>5.1677999999999997</v>
          </cell>
          <cell r="W580">
            <v>52.252200000000002</v>
          </cell>
          <cell r="X580">
            <v>4.7699999999999996</v>
          </cell>
          <cell r="Y580">
            <v>57.022199999999998</v>
          </cell>
        </row>
        <row r="581">
          <cell r="A581" t="str">
            <v>5902-1</v>
          </cell>
          <cell r="B581">
            <v>42142</v>
          </cell>
          <cell r="C581" t="str">
            <v>2015</v>
          </cell>
          <cell r="D581" t="str">
            <v>Brian DeCherney</v>
          </cell>
          <cell r="E581" t="str">
            <v>523 King St,Newtown</v>
          </cell>
          <cell r="F581" t="str">
            <v>Sydney</v>
          </cell>
          <cell r="G581" t="str">
            <v>NSW</v>
          </cell>
          <cell r="H581" t="str">
            <v>Corporate</v>
          </cell>
          <cell r="I581" t="str">
            <v>Aanya Zhang</v>
          </cell>
          <cell r="J581" t="str">
            <v>Low</v>
          </cell>
          <cell r="K581" t="str">
            <v>Laser DVD-RAM discs</v>
          </cell>
          <cell r="L581" t="str">
            <v>Technology</v>
          </cell>
          <cell r="M581" t="str">
            <v>Small Pack</v>
          </cell>
          <cell r="N581" t="str">
            <v>Regular Air</v>
          </cell>
          <cell r="O581">
            <v>42149</v>
          </cell>
          <cell r="P581">
            <v>20.18</v>
          </cell>
          <cell r="Q581">
            <v>35.409999999999997</v>
          </cell>
          <cell r="R581">
            <v>15.229999999999997</v>
          </cell>
          <cell r="S581">
            <v>1</v>
          </cell>
          <cell r="T581">
            <v>35.409999999999997</v>
          </cell>
          <cell r="V581">
            <v>3.5409999999999999</v>
          </cell>
          <cell r="W581">
            <v>31.868999999999996</v>
          </cell>
          <cell r="X581">
            <v>1.99</v>
          </cell>
          <cell r="Y581">
            <v>33.858999999999995</v>
          </cell>
        </row>
        <row r="582">
          <cell r="A582" t="str">
            <v>5904-1</v>
          </cell>
          <cell r="B582">
            <v>42143</v>
          </cell>
          <cell r="C582" t="str">
            <v>2015</v>
          </cell>
          <cell r="D582" t="str">
            <v>Carlos Meador</v>
          </cell>
          <cell r="E582" t="str">
            <v>152 Bunnerong Road,Eastgardens</v>
          </cell>
          <cell r="F582" t="str">
            <v>Sydney</v>
          </cell>
          <cell r="G582" t="str">
            <v>NSW</v>
          </cell>
          <cell r="H582" t="str">
            <v>Corporate</v>
          </cell>
          <cell r="I582" t="str">
            <v>Tina Carlton</v>
          </cell>
          <cell r="J582" t="str">
            <v>Critical</v>
          </cell>
          <cell r="K582" t="str">
            <v>Artisan Durable Binders</v>
          </cell>
          <cell r="L582" t="str">
            <v>Office Supplies</v>
          </cell>
          <cell r="M582" t="str">
            <v>Small Box</v>
          </cell>
          <cell r="N582" t="str">
            <v>Regular Air</v>
          </cell>
          <cell r="O582">
            <v>42144</v>
          </cell>
          <cell r="P582">
            <v>1.84</v>
          </cell>
          <cell r="Q582">
            <v>2.88</v>
          </cell>
          <cell r="R582">
            <v>1.0399999999999998</v>
          </cell>
          <cell r="S582">
            <v>16</v>
          </cell>
          <cell r="T582">
            <v>46.08</v>
          </cell>
          <cell r="V582">
            <v>2.3039999999999998</v>
          </cell>
          <cell r="W582">
            <v>43.775999999999996</v>
          </cell>
          <cell r="X582">
            <v>1.49</v>
          </cell>
          <cell r="Y582">
            <v>45.265999999999998</v>
          </cell>
        </row>
        <row r="583">
          <cell r="A583" t="str">
            <v>5906-1</v>
          </cell>
          <cell r="B583">
            <v>42144</v>
          </cell>
          <cell r="C583" t="str">
            <v>2015</v>
          </cell>
          <cell r="D583" t="str">
            <v>Mike Kennedy</v>
          </cell>
          <cell r="E583" t="str">
            <v>99 Lygon Street,East Brunswick</v>
          </cell>
          <cell r="F583" t="str">
            <v>Melbourne</v>
          </cell>
          <cell r="G583" t="str">
            <v>VIC</v>
          </cell>
          <cell r="H583" t="str">
            <v>Corporate</v>
          </cell>
          <cell r="I583" t="str">
            <v>Connor Betts</v>
          </cell>
          <cell r="J583" t="str">
            <v>High</v>
          </cell>
          <cell r="K583" t="str">
            <v>Artisan Durable Binders</v>
          </cell>
          <cell r="L583" t="str">
            <v>Office Supplies</v>
          </cell>
          <cell r="M583" t="str">
            <v>Small Box</v>
          </cell>
          <cell r="N583" t="str">
            <v>Regular Air</v>
          </cell>
          <cell r="O583">
            <v>42147</v>
          </cell>
          <cell r="P583">
            <v>1.84</v>
          </cell>
          <cell r="Q583">
            <v>2.88</v>
          </cell>
          <cell r="R583">
            <v>1.0399999999999998</v>
          </cell>
          <cell r="S583">
            <v>26</v>
          </cell>
          <cell r="T583">
            <v>74.88</v>
          </cell>
          <cell r="V583">
            <v>5.9904000000000002</v>
          </cell>
          <cell r="W583">
            <v>68.889600000000002</v>
          </cell>
          <cell r="X583">
            <v>1.49</v>
          </cell>
          <cell r="Y583">
            <v>70.379599999999996</v>
          </cell>
        </row>
        <row r="584">
          <cell r="A584" t="str">
            <v>5907-1</v>
          </cell>
          <cell r="B584">
            <v>42144</v>
          </cell>
          <cell r="C584" t="str">
            <v>2015</v>
          </cell>
          <cell r="D584" t="str">
            <v>Allen Armold</v>
          </cell>
          <cell r="E584" t="str">
            <v>101/12 Victoria Ave, Perth</v>
          </cell>
          <cell r="F584" t="str">
            <v>Melbourne</v>
          </cell>
          <cell r="G584" t="str">
            <v>VIC</v>
          </cell>
          <cell r="H584" t="str">
            <v>Home Office</v>
          </cell>
          <cell r="I584" t="str">
            <v>Connor Betts</v>
          </cell>
          <cell r="J584" t="str">
            <v>Critical</v>
          </cell>
          <cell r="K584" t="str">
            <v>Laser DVD-RAM discs</v>
          </cell>
          <cell r="L584" t="str">
            <v>Technology</v>
          </cell>
          <cell r="M584" t="str">
            <v>Small Pack</v>
          </cell>
          <cell r="N584" t="str">
            <v>Regular Air</v>
          </cell>
          <cell r="O584">
            <v>42146</v>
          </cell>
          <cell r="P584">
            <v>20.18</v>
          </cell>
          <cell r="Q584">
            <v>35.409999999999997</v>
          </cell>
          <cell r="R584">
            <v>15.229999999999997</v>
          </cell>
          <cell r="S584">
            <v>49</v>
          </cell>
          <cell r="T584">
            <v>1735.09</v>
          </cell>
          <cell r="V584">
            <v>34.701799999999999</v>
          </cell>
          <cell r="W584">
            <v>1700.3881999999999</v>
          </cell>
          <cell r="X584">
            <v>1.99</v>
          </cell>
          <cell r="Y584">
            <v>1702.3781999999999</v>
          </cell>
        </row>
        <row r="585">
          <cell r="A585" t="str">
            <v>5908-1</v>
          </cell>
          <cell r="B585">
            <v>42144</v>
          </cell>
          <cell r="C585" t="str">
            <v>2015</v>
          </cell>
          <cell r="D585" t="str">
            <v>Alan Shonely</v>
          </cell>
          <cell r="E585" t="str">
            <v>Macquarie Centre Cnr Herring Road &amp; Waterloo Road,Macquarie Park</v>
          </cell>
          <cell r="F585" t="str">
            <v>Sydney</v>
          </cell>
          <cell r="G585" t="str">
            <v>NSW</v>
          </cell>
          <cell r="H585" t="str">
            <v>Small Business</v>
          </cell>
          <cell r="I585" t="str">
            <v>Nicholas Fernandes</v>
          </cell>
          <cell r="J585" t="str">
            <v>Critical</v>
          </cell>
          <cell r="K585" t="str">
            <v>UGen RF Keyboard</v>
          </cell>
          <cell r="L585" t="str">
            <v>Technology</v>
          </cell>
          <cell r="M585" t="str">
            <v>Small Box</v>
          </cell>
          <cell r="N585" t="str">
            <v>Regular Air</v>
          </cell>
          <cell r="O585">
            <v>42145</v>
          </cell>
          <cell r="P585">
            <v>81.59</v>
          </cell>
          <cell r="Q585">
            <v>159.99</v>
          </cell>
          <cell r="R585">
            <v>78.400000000000006</v>
          </cell>
          <cell r="S585">
            <v>19</v>
          </cell>
          <cell r="T585">
            <v>3039.8100000000004</v>
          </cell>
          <cell r="V585">
            <v>303.98100000000005</v>
          </cell>
          <cell r="W585">
            <v>2735.8290000000002</v>
          </cell>
          <cell r="X585">
            <v>5.5</v>
          </cell>
          <cell r="Y585">
            <v>2741.3290000000002</v>
          </cell>
        </row>
        <row r="586">
          <cell r="A586" t="str">
            <v>5909-1</v>
          </cell>
          <cell r="B586">
            <v>42146</v>
          </cell>
          <cell r="C586" t="str">
            <v>2015</v>
          </cell>
          <cell r="D586" t="str">
            <v>Thomas Boland</v>
          </cell>
          <cell r="E586" t="str">
            <v>18 Robinson Avenue</v>
          </cell>
          <cell r="F586" t="str">
            <v>Perth</v>
          </cell>
          <cell r="G586" t="str">
            <v>WA</v>
          </cell>
          <cell r="H586" t="str">
            <v>Corporate</v>
          </cell>
          <cell r="I586" t="str">
            <v>Mihael Khan</v>
          </cell>
          <cell r="J586" t="str">
            <v>Critical</v>
          </cell>
          <cell r="K586" t="str">
            <v>Smiths Bulldog Clip</v>
          </cell>
          <cell r="L586" t="str">
            <v>Office Supplies</v>
          </cell>
          <cell r="M586" t="str">
            <v>Wrap Bag</v>
          </cell>
          <cell r="N586" t="str">
            <v>Regular Air</v>
          </cell>
          <cell r="O586">
            <v>42148</v>
          </cell>
          <cell r="P586">
            <v>2.31</v>
          </cell>
          <cell r="Q586">
            <v>3.78</v>
          </cell>
          <cell r="R586">
            <v>1.4699999999999998</v>
          </cell>
          <cell r="S586">
            <v>19</v>
          </cell>
          <cell r="T586">
            <v>71.819999999999993</v>
          </cell>
          <cell r="V586">
            <v>2.1545999999999998</v>
          </cell>
          <cell r="W586">
            <v>69.665399999999991</v>
          </cell>
          <cell r="X586">
            <v>0.71</v>
          </cell>
          <cell r="Y586">
            <v>70.375399999999985</v>
          </cell>
        </row>
        <row r="587">
          <cell r="A587" t="str">
            <v>5911-1</v>
          </cell>
          <cell r="B587">
            <v>42148</v>
          </cell>
          <cell r="C587" t="str">
            <v>2015</v>
          </cell>
          <cell r="D587" t="str">
            <v>Maurice Satty</v>
          </cell>
          <cell r="E587" t="str">
            <v>188 Pitt Street,Sydney</v>
          </cell>
          <cell r="F587" t="str">
            <v>Sydney</v>
          </cell>
          <cell r="G587" t="str">
            <v>NSW</v>
          </cell>
          <cell r="H587" t="str">
            <v>Corporate</v>
          </cell>
          <cell r="I587" t="str">
            <v>Tina Carlton</v>
          </cell>
          <cell r="J587" t="str">
            <v>Medium</v>
          </cell>
          <cell r="K587" t="str">
            <v>Steady EarthWrite Recycled Pencils, Medium Soft, #2</v>
          </cell>
          <cell r="L587" t="str">
            <v>Office Supplies</v>
          </cell>
          <cell r="M587" t="str">
            <v>Wrap Bag</v>
          </cell>
          <cell r="N587" t="str">
            <v>Regular Air</v>
          </cell>
          <cell r="O587">
            <v>42149</v>
          </cell>
          <cell r="P587">
            <v>0.9</v>
          </cell>
          <cell r="Q587">
            <v>2.1</v>
          </cell>
          <cell r="R587">
            <v>1.2000000000000002</v>
          </cell>
          <cell r="S587">
            <v>17</v>
          </cell>
          <cell r="T587">
            <v>35.700000000000003</v>
          </cell>
          <cell r="V587">
            <v>3.2130000000000001</v>
          </cell>
          <cell r="W587">
            <v>32.487000000000002</v>
          </cell>
          <cell r="X587">
            <v>0.7</v>
          </cell>
          <cell r="Y587">
            <v>33.187000000000005</v>
          </cell>
        </row>
        <row r="588">
          <cell r="A588" t="str">
            <v>5913-1</v>
          </cell>
          <cell r="B588">
            <v>42148</v>
          </cell>
          <cell r="C588" t="str">
            <v>2015</v>
          </cell>
          <cell r="D588" t="str">
            <v>Mike Gockenbach</v>
          </cell>
          <cell r="E588" t="str">
            <v>180 High Street,Windsor</v>
          </cell>
          <cell r="F588" t="str">
            <v>Melbourne</v>
          </cell>
          <cell r="G588" t="str">
            <v>VIC</v>
          </cell>
          <cell r="H588" t="str">
            <v>Consumer</v>
          </cell>
          <cell r="I588" t="str">
            <v>Connor Betts</v>
          </cell>
          <cell r="J588" t="str">
            <v>Low</v>
          </cell>
          <cell r="K588" t="str">
            <v>Steady Major Accent Highlighters</v>
          </cell>
          <cell r="L588" t="str">
            <v>Office Supplies</v>
          </cell>
          <cell r="M588" t="str">
            <v>Wrap Bag</v>
          </cell>
          <cell r="N588" t="str">
            <v>Regular Air</v>
          </cell>
          <cell r="O588">
            <v>42152</v>
          </cell>
          <cell r="P588">
            <v>3.75</v>
          </cell>
          <cell r="Q588">
            <v>7.08</v>
          </cell>
          <cell r="R588">
            <v>3.33</v>
          </cell>
          <cell r="S588">
            <v>49</v>
          </cell>
          <cell r="T588">
            <v>346.92</v>
          </cell>
          <cell r="V588">
            <v>0</v>
          </cell>
          <cell r="W588">
            <v>346.92</v>
          </cell>
          <cell r="X588">
            <v>2.35</v>
          </cell>
          <cell r="Y588">
            <v>349.27000000000004</v>
          </cell>
        </row>
        <row r="589">
          <cell r="A589" t="str">
            <v>5914-1</v>
          </cell>
          <cell r="B589">
            <v>42150</v>
          </cell>
          <cell r="C589" t="str">
            <v>2015</v>
          </cell>
          <cell r="D589" t="str">
            <v>Patrick Ryan</v>
          </cell>
          <cell r="E589" t="str">
            <v>Cnr Williams Road &amp; Lechlade Ave,South Yarra</v>
          </cell>
          <cell r="F589" t="str">
            <v>Melbourne</v>
          </cell>
          <cell r="G589" t="str">
            <v>VIC</v>
          </cell>
          <cell r="H589" t="str">
            <v>Corporate</v>
          </cell>
          <cell r="I589" t="str">
            <v>Yvette Biti</v>
          </cell>
          <cell r="J589" t="str">
            <v>Critical</v>
          </cell>
          <cell r="K589" t="str">
            <v>12 Colored Short Pencils</v>
          </cell>
          <cell r="L589" t="str">
            <v>Office Supplies</v>
          </cell>
          <cell r="M589" t="str">
            <v>Wrap Bag</v>
          </cell>
          <cell r="N589" t="str">
            <v>Regular Air</v>
          </cell>
          <cell r="O589">
            <v>42152</v>
          </cell>
          <cell r="P589">
            <v>1.0900000000000001</v>
          </cell>
          <cell r="Q589">
            <v>2.6</v>
          </cell>
          <cell r="R589">
            <v>1.51</v>
          </cell>
          <cell r="S589">
            <v>8</v>
          </cell>
          <cell r="T589">
            <v>20.8</v>
          </cell>
          <cell r="V589">
            <v>0.83200000000000007</v>
          </cell>
          <cell r="W589">
            <v>19.968</v>
          </cell>
          <cell r="X589">
            <v>2.4</v>
          </cell>
          <cell r="Y589">
            <v>22.367999999999999</v>
          </cell>
        </row>
        <row r="590">
          <cell r="A590" t="str">
            <v>5916-1</v>
          </cell>
          <cell r="B590">
            <v>42151</v>
          </cell>
          <cell r="C590" t="str">
            <v>2015</v>
          </cell>
          <cell r="D590" t="str">
            <v>Jack OBriant</v>
          </cell>
          <cell r="E590" t="str">
            <v>85-113 Dunning Ave,Rosebery</v>
          </cell>
          <cell r="F590" t="str">
            <v>Sydney</v>
          </cell>
          <cell r="G590" t="str">
            <v>NSW</v>
          </cell>
          <cell r="H590" t="str">
            <v>Small Business</v>
          </cell>
          <cell r="I590" t="str">
            <v>Mihael Khan</v>
          </cell>
          <cell r="J590" t="str">
            <v>Not Specified</v>
          </cell>
          <cell r="K590" t="str">
            <v>Beekin 105-Key Black Keyboard</v>
          </cell>
          <cell r="L590" t="str">
            <v>Technology</v>
          </cell>
          <cell r="M590" t="str">
            <v>Small Box</v>
          </cell>
          <cell r="N590" t="str">
            <v>Regular Air</v>
          </cell>
          <cell r="O590">
            <v>42153</v>
          </cell>
          <cell r="P590">
            <v>6.39</v>
          </cell>
          <cell r="Q590">
            <v>19.98</v>
          </cell>
          <cell r="R590">
            <v>13.59</v>
          </cell>
          <cell r="S590">
            <v>7</v>
          </cell>
          <cell r="T590">
            <v>139.86000000000001</v>
          </cell>
          <cell r="V590">
            <v>12.587400000000001</v>
          </cell>
          <cell r="W590">
            <v>127.27260000000001</v>
          </cell>
          <cell r="X590">
            <v>4</v>
          </cell>
          <cell r="Y590">
            <v>131.27260000000001</v>
          </cell>
        </row>
        <row r="591">
          <cell r="A591" t="str">
            <v>5917-1</v>
          </cell>
          <cell r="B591">
            <v>42152</v>
          </cell>
          <cell r="C591" t="str">
            <v>2015</v>
          </cell>
          <cell r="D591" t="str">
            <v>Lynn Smith</v>
          </cell>
          <cell r="E591" t="str">
            <v>61A Bay Road,Wollstonecraft</v>
          </cell>
          <cell r="F591" t="str">
            <v>Sydney</v>
          </cell>
          <cell r="G591" t="str">
            <v>NSW</v>
          </cell>
          <cell r="H591" t="str">
            <v>Corporate</v>
          </cell>
          <cell r="I591" t="str">
            <v>Samantha Chairs</v>
          </cell>
          <cell r="J591" t="str">
            <v>Not Specified</v>
          </cell>
          <cell r="K591" t="str">
            <v>12 Colored Short Pencils</v>
          </cell>
          <cell r="L591" t="str">
            <v>Office Supplies</v>
          </cell>
          <cell r="M591" t="str">
            <v>Wrap Bag</v>
          </cell>
          <cell r="N591" t="str">
            <v>Express Air</v>
          </cell>
          <cell r="O591">
            <v>42153</v>
          </cell>
          <cell r="P591">
            <v>1.0900000000000001</v>
          </cell>
          <cell r="Q591">
            <v>2.6</v>
          </cell>
          <cell r="R591">
            <v>1.51</v>
          </cell>
          <cell r="S591">
            <v>42</v>
          </cell>
          <cell r="T591">
            <v>109.2</v>
          </cell>
          <cell r="V591">
            <v>5.4600000000000009</v>
          </cell>
          <cell r="W591">
            <v>103.74000000000001</v>
          </cell>
          <cell r="X591">
            <v>2.4</v>
          </cell>
          <cell r="Y591">
            <v>106.14000000000001</v>
          </cell>
        </row>
        <row r="592">
          <cell r="A592" t="str">
            <v>5919-1</v>
          </cell>
          <cell r="B592">
            <v>42153</v>
          </cell>
          <cell r="C592" t="str">
            <v>2015</v>
          </cell>
          <cell r="D592" t="str">
            <v>Cindy Schnelling</v>
          </cell>
          <cell r="E592" t="str">
            <v>240-242 Johnston Street,Fitzroy</v>
          </cell>
          <cell r="F592" t="str">
            <v>Melbourne</v>
          </cell>
          <cell r="G592" t="str">
            <v>VIC</v>
          </cell>
          <cell r="H592" t="str">
            <v>Corporate</v>
          </cell>
          <cell r="I592" t="str">
            <v>Connor Betts</v>
          </cell>
          <cell r="J592" t="str">
            <v>High</v>
          </cell>
          <cell r="K592" t="str">
            <v>Artisan 474 Labels</v>
          </cell>
          <cell r="L592" t="str">
            <v>Office Supplies</v>
          </cell>
          <cell r="M592" t="str">
            <v>Small Box</v>
          </cell>
          <cell r="N592" t="str">
            <v>Regular Air</v>
          </cell>
          <cell r="O592">
            <v>42155</v>
          </cell>
          <cell r="P592">
            <v>1.84</v>
          </cell>
          <cell r="Q592">
            <v>2.88</v>
          </cell>
          <cell r="R592">
            <v>1.0399999999999998</v>
          </cell>
          <cell r="S592">
            <v>24</v>
          </cell>
          <cell r="T592">
            <v>69.12</v>
          </cell>
          <cell r="V592">
            <v>4.8384000000000009</v>
          </cell>
          <cell r="W592">
            <v>64.281599999999997</v>
          </cell>
          <cell r="X592">
            <v>0.99</v>
          </cell>
          <cell r="Y592">
            <v>65.271599999999992</v>
          </cell>
        </row>
        <row r="593">
          <cell r="A593" t="str">
            <v>5921-1</v>
          </cell>
          <cell r="B593">
            <v>42155</v>
          </cell>
          <cell r="C593" t="str">
            <v>2015</v>
          </cell>
          <cell r="D593" t="str">
            <v>George Bell</v>
          </cell>
          <cell r="E593" t="str">
            <v>499-501 Lygon Street,Carlton North</v>
          </cell>
          <cell r="F593" t="str">
            <v>Melbourne</v>
          </cell>
          <cell r="G593" t="str">
            <v>VIC</v>
          </cell>
          <cell r="H593" t="str">
            <v>Corporate</v>
          </cell>
          <cell r="I593" t="str">
            <v>Yvette Biti</v>
          </cell>
          <cell r="J593" t="str">
            <v>Not Specified</v>
          </cell>
          <cell r="K593" t="str">
            <v>1726 Digital Answering Machine</v>
          </cell>
          <cell r="L593" t="str">
            <v>Technology</v>
          </cell>
          <cell r="M593" t="str">
            <v>Medium Box</v>
          </cell>
          <cell r="N593" t="str">
            <v>Express Air</v>
          </cell>
          <cell r="O593">
            <v>42157</v>
          </cell>
          <cell r="P593">
            <v>8.82</v>
          </cell>
          <cell r="Q593">
            <v>20.99</v>
          </cell>
          <cell r="R593">
            <v>12.169999999999998</v>
          </cell>
          <cell r="S593">
            <v>18</v>
          </cell>
          <cell r="T593">
            <v>377.82</v>
          </cell>
          <cell r="V593">
            <v>0</v>
          </cell>
          <cell r="W593">
            <v>377.82</v>
          </cell>
          <cell r="X593">
            <v>4.8099999999999996</v>
          </cell>
          <cell r="Y593">
            <v>382.63</v>
          </cell>
        </row>
        <row r="594">
          <cell r="A594" t="str">
            <v>5923-1</v>
          </cell>
          <cell r="B594">
            <v>42155</v>
          </cell>
          <cell r="C594" t="str">
            <v>2015</v>
          </cell>
          <cell r="D594" t="str">
            <v>Pete Armstrong</v>
          </cell>
          <cell r="E594" t="str">
            <v>506 Swan Street,Richmond</v>
          </cell>
          <cell r="F594" t="str">
            <v>Melbourne</v>
          </cell>
          <cell r="G594" t="str">
            <v>VIC</v>
          </cell>
          <cell r="H594" t="str">
            <v>Consumer</v>
          </cell>
          <cell r="I594" t="str">
            <v>Connor Betts</v>
          </cell>
          <cell r="J594" t="str">
            <v>Medium</v>
          </cell>
          <cell r="K594" t="str">
            <v>Laser Neon Mac Format Diskettes, 10/Pack</v>
          </cell>
          <cell r="L594" t="str">
            <v>Technology</v>
          </cell>
          <cell r="M594" t="str">
            <v>Small Pack</v>
          </cell>
          <cell r="N594" t="str">
            <v>Regular Air</v>
          </cell>
          <cell r="O594">
            <v>42156</v>
          </cell>
          <cell r="P594">
            <v>1.87</v>
          </cell>
          <cell r="Q594">
            <v>8.1199999999999992</v>
          </cell>
          <cell r="R594">
            <v>6.2499999999999991</v>
          </cell>
          <cell r="S594">
            <v>3</v>
          </cell>
          <cell r="T594">
            <v>24.36</v>
          </cell>
          <cell r="V594">
            <v>0.73080000000000001</v>
          </cell>
          <cell r="W594">
            <v>23.629200000000001</v>
          </cell>
          <cell r="X594">
            <v>2.83</v>
          </cell>
          <cell r="Y594">
            <v>26.459200000000003</v>
          </cell>
        </row>
        <row r="595">
          <cell r="A595" t="str">
            <v>5925-1</v>
          </cell>
          <cell r="B595">
            <v>42155</v>
          </cell>
          <cell r="C595" t="str">
            <v>2015</v>
          </cell>
          <cell r="D595" t="str">
            <v>Lauren Leatherbury</v>
          </cell>
          <cell r="E595" t="str">
            <v>Westfield 1 Anderson St,Chatswood</v>
          </cell>
          <cell r="F595" t="str">
            <v>Sydney</v>
          </cell>
          <cell r="G595" t="str">
            <v>NSW</v>
          </cell>
          <cell r="H595" t="str">
            <v>Home Office</v>
          </cell>
          <cell r="I595" t="str">
            <v>Nicholas Fernandes</v>
          </cell>
          <cell r="J595" t="str">
            <v>Low</v>
          </cell>
          <cell r="K595" t="str">
            <v>Multi-Use Personal File Cart and Caster Set, Three Stacking Bins</v>
          </cell>
          <cell r="L595" t="str">
            <v>Office Supplies</v>
          </cell>
          <cell r="M595" t="str">
            <v>Small Box</v>
          </cell>
          <cell r="N595" t="str">
            <v>Regular Air</v>
          </cell>
          <cell r="O595">
            <v>42160</v>
          </cell>
          <cell r="P595">
            <v>14.95</v>
          </cell>
          <cell r="Q595">
            <v>34.76</v>
          </cell>
          <cell r="R595">
            <v>19.809999999999999</v>
          </cell>
          <cell r="S595">
            <v>43</v>
          </cell>
          <cell r="T595">
            <v>1494.6799999999998</v>
          </cell>
          <cell r="V595">
            <v>119.57439999999998</v>
          </cell>
          <cell r="W595">
            <v>1375.1055999999999</v>
          </cell>
          <cell r="X595">
            <v>8.2200000000000006</v>
          </cell>
          <cell r="Y595">
            <v>1383.3255999999999</v>
          </cell>
        </row>
        <row r="596">
          <cell r="A596" t="str">
            <v>5927-1</v>
          </cell>
          <cell r="B596">
            <v>42156</v>
          </cell>
          <cell r="C596" t="str">
            <v>2015</v>
          </cell>
          <cell r="D596" t="str">
            <v>Nathan Mautz</v>
          </cell>
          <cell r="E596" t="str">
            <v>412 Brunswick St,Fitzroy</v>
          </cell>
          <cell r="F596" t="str">
            <v>Melbourne</v>
          </cell>
          <cell r="G596" t="str">
            <v>VIC</v>
          </cell>
          <cell r="H596" t="str">
            <v>Corporate</v>
          </cell>
          <cell r="I596" t="str">
            <v>Connor Betts</v>
          </cell>
          <cell r="J596" t="str">
            <v>Low</v>
          </cell>
          <cell r="K596" t="str">
            <v>Apex Box Cutter Scissors</v>
          </cell>
          <cell r="L596" t="str">
            <v>Office Supplies</v>
          </cell>
          <cell r="M596" t="str">
            <v>Small Pack</v>
          </cell>
          <cell r="N596" t="str">
            <v>Regular Air</v>
          </cell>
          <cell r="O596">
            <v>42161</v>
          </cell>
          <cell r="P596">
            <v>4.1900000000000004</v>
          </cell>
          <cell r="Q596">
            <v>10.23</v>
          </cell>
          <cell r="R596">
            <v>6.04</v>
          </cell>
          <cell r="S596">
            <v>35</v>
          </cell>
          <cell r="T596">
            <v>358.05</v>
          </cell>
          <cell r="V596">
            <v>3.5805000000000002</v>
          </cell>
          <cell r="W596">
            <v>354.46950000000004</v>
          </cell>
          <cell r="X596">
            <v>4.68</v>
          </cell>
          <cell r="Y596">
            <v>359.14950000000005</v>
          </cell>
        </row>
        <row r="597">
          <cell r="A597" t="str">
            <v>5928-1</v>
          </cell>
          <cell r="B597">
            <v>42163</v>
          </cell>
          <cell r="C597" t="str">
            <v>2015</v>
          </cell>
          <cell r="D597" t="str">
            <v>Michael Chen</v>
          </cell>
          <cell r="E597" t="str">
            <v>Shop 3/144 Waterloo Road,Greenacre</v>
          </cell>
          <cell r="F597" t="str">
            <v>Sydney</v>
          </cell>
          <cell r="G597" t="str">
            <v>NSW</v>
          </cell>
          <cell r="H597" t="str">
            <v>Consumer</v>
          </cell>
          <cell r="I597" t="str">
            <v>Samantha Chairs</v>
          </cell>
          <cell r="J597" t="str">
            <v>Critical</v>
          </cell>
          <cell r="K597" t="str">
            <v>300 Series Non-Flip</v>
          </cell>
          <cell r="L597" t="str">
            <v>Technology</v>
          </cell>
          <cell r="M597" t="str">
            <v>Small Box</v>
          </cell>
          <cell r="N597" t="str">
            <v>Regular Air</v>
          </cell>
          <cell r="O597">
            <v>42165</v>
          </cell>
          <cell r="P597">
            <v>62.4</v>
          </cell>
          <cell r="Q597">
            <v>155.99</v>
          </cell>
          <cell r="R597">
            <v>93.59</v>
          </cell>
          <cell r="S597">
            <v>21</v>
          </cell>
          <cell r="T597">
            <v>3275.79</v>
          </cell>
          <cell r="V597">
            <v>262.06319999999999</v>
          </cell>
          <cell r="W597">
            <v>3013.7267999999999</v>
          </cell>
          <cell r="X597">
            <v>8.08</v>
          </cell>
          <cell r="Y597">
            <v>3021.8067999999998</v>
          </cell>
        </row>
        <row r="598">
          <cell r="A598" t="str">
            <v>5930-1</v>
          </cell>
          <cell r="B598">
            <v>42163</v>
          </cell>
          <cell r="C598" t="str">
            <v>2015</v>
          </cell>
          <cell r="D598" t="str">
            <v>Jack OBriant</v>
          </cell>
          <cell r="E598" t="str">
            <v>85-113 Dunning Ave,Rosebery</v>
          </cell>
          <cell r="F598" t="str">
            <v>Sydney</v>
          </cell>
          <cell r="G598" t="str">
            <v>NSW</v>
          </cell>
          <cell r="H598" t="str">
            <v>Home Office</v>
          </cell>
          <cell r="I598" t="str">
            <v>Mihael Khan</v>
          </cell>
          <cell r="J598" t="str">
            <v>Not Specified</v>
          </cell>
          <cell r="K598" t="str">
            <v>HFX LaserJet 3310 Copier</v>
          </cell>
          <cell r="L598" t="str">
            <v>Technology</v>
          </cell>
          <cell r="M598" t="str">
            <v>Large Box</v>
          </cell>
          <cell r="N598" t="str">
            <v>Regular Air</v>
          </cell>
          <cell r="O598">
            <v>42164</v>
          </cell>
          <cell r="P598">
            <v>377.99</v>
          </cell>
          <cell r="Q598">
            <v>599.99</v>
          </cell>
          <cell r="R598">
            <v>222</v>
          </cell>
          <cell r="S598">
            <v>41</v>
          </cell>
          <cell r="T598">
            <v>24599.59</v>
          </cell>
          <cell r="V598">
            <v>2213.9630999999999</v>
          </cell>
          <cell r="W598">
            <v>22385.626899999999</v>
          </cell>
          <cell r="X598">
            <v>24.49</v>
          </cell>
          <cell r="Y598">
            <v>22410.116900000001</v>
          </cell>
        </row>
        <row r="599">
          <cell r="A599" t="str">
            <v>5931-1</v>
          </cell>
          <cell r="B599">
            <v>42165</v>
          </cell>
          <cell r="C599" t="str">
            <v>2015</v>
          </cell>
          <cell r="D599" t="str">
            <v>Alan Schoenberger</v>
          </cell>
          <cell r="E599" t="str">
            <v>333-339 Enmore Rd,Marrickville</v>
          </cell>
          <cell r="F599" t="str">
            <v>Sydney</v>
          </cell>
          <cell r="G599" t="str">
            <v>NSW</v>
          </cell>
          <cell r="H599" t="str">
            <v>Corporate</v>
          </cell>
          <cell r="I599" t="str">
            <v>Preston Senome</v>
          </cell>
          <cell r="J599" t="str">
            <v>Critical</v>
          </cell>
          <cell r="K599" t="str">
            <v>Multimedia Mailers</v>
          </cell>
          <cell r="L599" t="str">
            <v>Office Supplies</v>
          </cell>
          <cell r="M599" t="str">
            <v>Small Box</v>
          </cell>
          <cell r="N599" t="str">
            <v>Regular Air</v>
          </cell>
          <cell r="O599">
            <v>42167</v>
          </cell>
          <cell r="P599">
            <v>99.39</v>
          </cell>
          <cell r="Q599">
            <v>162.93</v>
          </cell>
          <cell r="R599">
            <v>63.540000000000006</v>
          </cell>
          <cell r="S599">
            <v>36</v>
          </cell>
          <cell r="T599">
            <v>5865.4800000000005</v>
          </cell>
          <cell r="V599">
            <v>527.89319999999998</v>
          </cell>
          <cell r="W599">
            <v>5337.5868000000009</v>
          </cell>
          <cell r="X599">
            <v>19.989999999999998</v>
          </cell>
          <cell r="Y599">
            <v>5357.5768000000007</v>
          </cell>
        </row>
        <row r="600">
          <cell r="A600" t="str">
            <v>5932-1</v>
          </cell>
          <cell r="B600">
            <v>42165</v>
          </cell>
          <cell r="C600" t="str">
            <v>2015</v>
          </cell>
          <cell r="D600" t="str">
            <v>Liz MacKendrick</v>
          </cell>
          <cell r="E600" t="str">
            <v>224A Gertrude St,Fitzroy</v>
          </cell>
          <cell r="F600" t="str">
            <v>Melbourne</v>
          </cell>
          <cell r="G600" t="str">
            <v>VIC</v>
          </cell>
          <cell r="H600" t="str">
            <v>Corporate</v>
          </cell>
          <cell r="I600" t="str">
            <v>Connor Betts</v>
          </cell>
          <cell r="J600" t="str">
            <v>Low</v>
          </cell>
          <cell r="K600" t="str">
            <v>Smiths Standard Envelopes</v>
          </cell>
          <cell r="L600" t="str">
            <v>Office Supplies</v>
          </cell>
          <cell r="M600" t="str">
            <v>Small Box</v>
          </cell>
          <cell r="N600" t="str">
            <v>Regular Air</v>
          </cell>
          <cell r="O600">
            <v>42169</v>
          </cell>
          <cell r="P600">
            <v>3.52</v>
          </cell>
          <cell r="Q600">
            <v>5.68</v>
          </cell>
          <cell r="R600">
            <v>2.1599999999999997</v>
          </cell>
          <cell r="S600">
            <v>8</v>
          </cell>
          <cell r="T600">
            <v>45.44</v>
          </cell>
          <cell r="V600">
            <v>2.2719999999999998</v>
          </cell>
          <cell r="W600">
            <v>43.167999999999999</v>
          </cell>
          <cell r="X600">
            <v>1.39</v>
          </cell>
          <cell r="Y600">
            <v>44.558</v>
          </cell>
        </row>
        <row r="601">
          <cell r="A601" t="str">
            <v>5933-1</v>
          </cell>
          <cell r="B601">
            <v>42166</v>
          </cell>
          <cell r="C601" t="str">
            <v>2015</v>
          </cell>
          <cell r="D601" t="str">
            <v>Tamara Chand</v>
          </cell>
          <cell r="E601" t="str">
            <v>96 Liverpool St,Sydney</v>
          </cell>
          <cell r="F601" t="str">
            <v>Sydney</v>
          </cell>
          <cell r="G601" t="str">
            <v>NSW</v>
          </cell>
          <cell r="H601" t="str">
            <v>Consumer</v>
          </cell>
          <cell r="I601" t="str">
            <v>Samantha Chairs</v>
          </cell>
          <cell r="J601" t="str">
            <v>Low</v>
          </cell>
          <cell r="K601" t="str">
            <v>Apex Office Executive Series Stainless Steel Trimmers</v>
          </cell>
          <cell r="L601" t="str">
            <v>Office Supplies</v>
          </cell>
          <cell r="M601" t="str">
            <v>Small Pack</v>
          </cell>
          <cell r="N601" t="str">
            <v>Regular Air</v>
          </cell>
          <cell r="O601">
            <v>42166</v>
          </cell>
          <cell r="P601">
            <v>3.51</v>
          </cell>
          <cell r="Q601">
            <v>8.57</v>
          </cell>
          <cell r="R601">
            <v>5.0600000000000005</v>
          </cell>
          <cell r="S601">
            <v>22</v>
          </cell>
          <cell r="T601">
            <v>188.54000000000002</v>
          </cell>
          <cell r="V601">
            <v>18.854000000000003</v>
          </cell>
          <cell r="W601">
            <v>169.68600000000001</v>
          </cell>
          <cell r="X601">
            <v>6.14</v>
          </cell>
          <cell r="Y601">
            <v>175.82599999999999</v>
          </cell>
        </row>
        <row r="602">
          <cell r="A602" t="str">
            <v>5935-1</v>
          </cell>
          <cell r="B602">
            <v>42166</v>
          </cell>
          <cell r="C602" t="str">
            <v>2015</v>
          </cell>
          <cell r="D602" t="str">
            <v>Charles Crestani</v>
          </cell>
          <cell r="E602" t="str">
            <v>Sydney Fish Market, Bank Street, Sydney</v>
          </cell>
          <cell r="F602" t="str">
            <v>Sydney</v>
          </cell>
          <cell r="G602" t="str">
            <v>NSW</v>
          </cell>
          <cell r="H602" t="str">
            <v>Consumer</v>
          </cell>
          <cell r="I602" t="str">
            <v>Phoebe Gour</v>
          </cell>
          <cell r="J602" t="str">
            <v>High</v>
          </cell>
          <cell r="K602" t="str">
            <v>Steady Pocket Accent Highlighters</v>
          </cell>
          <cell r="L602" t="str">
            <v>Office Supplies</v>
          </cell>
          <cell r="M602" t="str">
            <v>Wrap Bag</v>
          </cell>
          <cell r="N602" t="str">
            <v>Express Air</v>
          </cell>
          <cell r="O602">
            <v>42168</v>
          </cell>
          <cell r="P602">
            <v>0.93</v>
          </cell>
          <cell r="Q602">
            <v>1.6</v>
          </cell>
          <cell r="R602">
            <v>0.67</v>
          </cell>
          <cell r="S602">
            <v>24</v>
          </cell>
          <cell r="T602">
            <v>38.400000000000006</v>
          </cell>
          <cell r="V602">
            <v>1.5360000000000003</v>
          </cell>
          <cell r="W602">
            <v>36.864000000000004</v>
          </cell>
          <cell r="X602">
            <v>1.29</v>
          </cell>
          <cell r="Y602">
            <v>38.154000000000003</v>
          </cell>
        </row>
        <row r="603">
          <cell r="A603" t="str">
            <v>5937-1</v>
          </cell>
          <cell r="B603">
            <v>42168</v>
          </cell>
          <cell r="C603" t="str">
            <v>2015</v>
          </cell>
          <cell r="D603" t="str">
            <v>Rick Hansen</v>
          </cell>
          <cell r="E603" t="str">
            <v>Macquarie Centre Cnr Herring Road &amp; Waterloo Road,Macquarie Park</v>
          </cell>
          <cell r="F603" t="str">
            <v>Sydney</v>
          </cell>
          <cell r="G603" t="str">
            <v>NSW</v>
          </cell>
          <cell r="H603" t="str">
            <v>Corporate</v>
          </cell>
          <cell r="I603" t="str">
            <v>Nicholas Fernandes</v>
          </cell>
          <cell r="J603" t="str">
            <v>Not Specified</v>
          </cell>
          <cell r="K603" t="str">
            <v>Aluminum Document Frame</v>
          </cell>
          <cell r="L603" t="str">
            <v>Furniture</v>
          </cell>
          <cell r="M603" t="str">
            <v>Small Pack</v>
          </cell>
          <cell r="N603" t="str">
            <v>Regular Air</v>
          </cell>
          <cell r="O603">
            <v>42171</v>
          </cell>
          <cell r="P603">
            <v>5.5</v>
          </cell>
          <cell r="Q603">
            <v>12.22</v>
          </cell>
          <cell r="R603">
            <v>6.7200000000000006</v>
          </cell>
          <cell r="S603">
            <v>8</v>
          </cell>
          <cell r="T603">
            <v>97.76</v>
          </cell>
          <cell r="V603">
            <v>9.7760000000000016</v>
          </cell>
          <cell r="W603">
            <v>87.984000000000009</v>
          </cell>
          <cell r="X603">
            <v>2.85</v>
          </cell>
          <cell r="Y603">
            <v>90.834000000000003</v>
          </cell>
        </row>
        <row r="604">
          <cell r="A604" t="str">
            <v>5938-1</v>
          </cell>
          <cell r="B604">
            <v>42169</v>
          </cell>
          <cell r="C604" t="str">
            <v>2015</v>
          </cell>
          <cell r="D604" t="str">
            <v>Annie Cyprus</v>
          </cell>
          <cell r="E604" t="str">
            <v>101 Murray Street, Perth</v>
          </cell>
          <cell r="F604" t="str">
            <v>Melbourne</v>
          </cell>
          <cell r="G604" t="str">
            <v>VIC</v>
          </cell>
          <cell r="H604" t="str">
            <v>Home Office</v>
          </cell>
          <cell r="I604" t="str">
            <v>Connor Betts</v>
          </cell>
          <cell r="J604" t="str">
            <v>High</v>
          </cell>
          <cell r="K604" t="str">
            <v>Steady Liquid Accent Tank-Style Highlighters</v>
          </cell>
          <cell r="L604" t="str">
            <v>Office Supplies</v>
          </cell>
          <cell r="M604" t="str">
            <v>Wrap Bag</v>
          </cell>
          <cell r="N604" t="str">
            <v>Regular Air</v>
          </cell>
          <cell r="O604">
            <v>42170</v>
          </cell>
          <cell r="P604">
            <v>1.31</v>
          </cell>
          <cell r="Q604">
            <v>2.84</v>
          </cell>
          <cell r="R604">
            <v>1.5299999999999998</v>
          </cell>
          <cell r="S604">
            <v>23</v>
          </cell>
          <cell r="T604">
            <v>65.319999999999993</v>
          </cell>
          <cell r="V604">
            <v>3.9191999999999996</v>
          </cell>
          <cell r="W604">
            <v>61.400799999999997</v>
          </cell>
          <cell r="X604">
            <v>0.93</v>
          </cell>
          <cell r="Y604">
            <v>62.330799999999996</v>
          </cell>
        </row>
        <row r="605">
          <cell r="A605" t="str">
            <v>5939-1</v>
          </cell>
          <cell r="B605">
            <v>42175</v>
          </cell>
          <cell r="C605" t="str">
            <v>2015</v>
          </cell>
          <cell r="D605" t="str">
            <v>Richard Bierner</v>
          </cell>
          <cell r="E605" t="str">
            <v>180 High Street,Windsor</v>
          </cell>
          <cell r="F605" t="str">
            <v>Melbourne</v>
          </cell>
          <cell r="G605" t="str">
            <v>VIC</v>
          </cell>
          <cell r="H605" t="str">
            <v>Small Business</v>
          </cell>
          <cell r="I605" t="str">
            <v>Connor Betts</v>
          </cell>
          <cell r="J605" t="str">
            <v>Not Specified</v>
          </cell>
          <cell r="K605" t="str">
            <v>Alto Parchment Paper, Assorted Colors</v>
          </cell>
          <cell r="L605" t="str">
            <v>Office Supplies</v>
          </cell>
          <cell r="M605" t="str">
            <v>Small Box</v>
          </cell>
          <cell r="N605" t="str">
            <v>Regular Air</v>
          </cell>
          <cell r="O605">
            <v>42177</v>
          </cell>
          <cell r="P605">
            <v>4.59</v>
          </cell>
          <cell r="Q605">
            <v>7.28</v>
          </cell>
          <cell r="R605">
            <v>2.6900000000000004</v>
          </cell>
          <cell r="S605">
            <v>16</v>
          </cell>
          <cell r="T605">
            <v>116.48</v>
          </cell>
          <cell r="V605">
            <v>8.1536000000000008</v>
          </cell>
          <cell r="W605">
            <v>108.32640000000001</v>
          </cell>
          <cell r="X605">
            <v>11.15</v>
          </cell>
          <cell r="Y605">
            <v>119.47640000000001</v>
          </cell>
        </row>
        <row r="606">
          <cell r="A606" t="str">
            <v>5941-1</v>
          </cell>
          <cell r="B606">
            <v>42176</v>
          </cell>
          <cell r="C606" t="str">
            <v>2015</v>
          </cell>
          <cell r="D606" t="str">
            <v>Erica Bern</v>
          </cell>
          <cell r="E606" t="str">
            <v>10 O'Connell St,Sydney</v>
          </cell>
          <cell r="F606" t="str">
            <v>Sydney</v>
          </cell>
          <cell r="G606" t="str">
            <v>NSW</v>
          </cell>
          <cell r="H606" t="str">
            <v>Corporate</v>
          </cell>
          <cell r="I606" t="str">
            <v>Aanya Zhang</v>
          </cell>
          <cell r="J606" t="str">
            <v>Medium</v>
          </cell>
          <cell r="K606" t="str">
            <v>Colored Envelopes</v>
          </cell>
          <cell r="L606" t="str">
            <v>Office Supplies</v>
          </cell>
          <cell r="M606" t="str">
            <v>Small Box</v>
          </cell>
          <cell r="N606" t="str">
            <v>Regular Air</v>
          </cell>
          <cell r="O606">
            <v>42178</v>
          </cell>
          <cell r="P606">
            <v>2.25</v>
          </cell>
          <cell r="Q606">
            <v>3.69</v>
          </cell>
          <cell r="R606">
            <v>1.44</v>
          </cell>
          <cell r="S606">
            <v>42</v>
          </cell>
          <cell r="T606">
            <v>154.97999999999999</v>
          </cell>
          <cell r="V606">
            <v>9.2987999999999982</v>
          </cell>
          <cell r="W606">
            <v>145.68119999999999</v>
          </cell>
          <cell r="X606">
            <v>2.5</v>
          </cell>
          <cell r="Y606">
            <v>148.18119999999999</v>
          </cell>
        </row>
        <row r="607">
          <cell r="A607" t="str">
            <v>5943-1</v>
          </cell>
          <cell r="B607">
            <v>42180</v>
          </cell>
          <cell r="C607" t="str">
            <v>2015</v>
          </cell>
          <cell r="D607" t="str">
            <v>Denise Monton</v>
          </cell>
          <cell r="E607" t="str">
            <v>2/797 Botany Rd,Rosebery</v>
          </cell>
          <cell r="F607" t="str">
            <v>Sydney</v>
          </cell>
          <cell r="G607" t="str">
            <v>NSW</v>
          </cell>
          <cell r="H607" t="str">
            <v>Home Office</v>
          </cell>
          <cell r="I607" t="str">
            <v>Samantha Chairs</v>
          </cell>
          <cell r="J607" t="str">
            <v>Medium</v>
          </cell>
          <cell r="K607" t="str">
            <v>12 Colored Short Pencils</v>
          </cell>
          <cell r="L607" t="str">
            <v>Office Supplies</v>
          </cell>
          <cell r="M607" t="str">
            <v>Wrap Bag</v>
          </cell>
          <cell r="N607" t="str">
            <v>Regular Air</v>
          </cell>
          <cell r="O607">
            <v>42180</v>
          </cell>
          <cell r="P607">
            <v>1.0900000000000001</v>
          </cell>
          <cell r="Q607">
            <v>2.6</v>
          </cell>
          <cell r="R607">
            <v>1.51</v>
          </cell>
          <cell r="S607">
            <v>26</v>
          </cell>
          <cell r="T607">
            <v>67.600000000000009</v>
          </cell>
          <cell r="V607">
            <v>5.4080000000000004</v>
          </cell>
          <cell r="W607">
            <v>62.192000000000007</v>
          </cell>
          <cell r="X607">
            <v>2.4</v>
          </cell>
          <cell r="Y607">
            <v>64.592000000000013</v>
          </cell>
        </row>
        <row r="608">
          <cell r="A608" t="str">
            <v>5943-2</v>
          </cell>
          <cell r="B608">
            <v>42180</v>
          </cell>
          <cell r="C608" t="str">
            <v>2015</v>
          </cell>
          <cell r="D608" t="str">
            <v>Denise Monton</v>
          </cell>
          <cell r="E608" t="str">
            <v>2/797 Botany Rd,Rosebery</v>
          </cell>
          <cell r="F608" t="str">
            <v>Sydney</v>
          </cell>
          <cell r="G608" t="str">
            <v>NSW</v>
          </cell>
          <cell r="H608" t="str">
            <v>Home Office</v>
          </cell>
          <cell r="I608" t="str">
            <v>Samantha Chairs</v>
          </cell>
          <cell r="J608" t="str">
            <v>Medium</v>
          </cell>
          <cell r="K608" t="str">
            <v>TechSavi Cordless Navigator Duo</v>
          </cell>
          <cell r="L608" t="str">
            <v>Technology</v>
          </cell>
          <cell r="M608" t="str">
            <v>Small Box</v>
          </cell>
          <cell r="N608" t="str">
            <v>Regular Air</v>
          </cell>
          <cell r="O608">
            <v>42182</v>
          </cell>
          <cell r="P608">
            <v>42.11</v>
          </cell>
          <cell r="Q608">
            <v>80.98</v>
          </cell>
          <cell r="R608">
            <v>38.870000000000005</v>
          </cell>
          <cell r="S608">
            <v>34</v>
          </cell>
          <cell r="T608">
            <v>2753.32</v>
          </cell>
          <cell r="V608">
            <v>55.066400000000002</v>
          </cell>
          <cell r="W608">
            <v>2698.2536</v>
          </cell>
          <cell r="X608">
            <v>7.18</v>
          </cell>
          <cell r="Y608">
            <v>2705.4335999999998</v>
          </cell>
        </row>
        <row r="609">
          <cell r="A609" t="str">
            <v>5944-1</v>
          </cell>
          <cell r="B609">
            <v>42180</v>
          </cell>
          <cell r="C609" t="str">
            <v>2015</v>
          </cell>
          <cell r="D609" t="str">
            <v>Beth Paige</v>
          </cell>
          <cell r="E609" t="str">
            <v>32/82 King Street, Perth</v>
          </cell>
          <cell r="F609" t="str">
            <v>Sydney</v>
          </cell>
          <cell r="G609" t="str">
            <v>NSW</v>
          </cell>
          <cell r="H609" t="str">
            <v>Consumer</v>
          </cell>
          <cell r="I609" t="str">
            <v>Tina Carlton</v>
          </cell>
          <cell r="J609" t="str">
            <v>High</v>
          </cell>
          <cell r="K609" t="str">
            <v>Smiths General Use 3-Ring Binders</v>
          </cell>
          <cell r="L609" t="str">
            <v>Office Supplies</v>
          </cell>
          <cell r="M609" t="str">
            <v>Small Box</v>
          </cell>
          <cell r="N609" t="str">
            <v>Express Air</v>
          </cell>
          <cell r="O609">
            <v>42181</v>
          </cell>
          <cell r="P609">
            <v>1.18</v>
          </cell>
          <cell r="Q609">
            <v>1.88</v>
          </cell>
          <cell r="R609">
            <v>0.7</v>
          </cell>
          <cell r="S609">
            <v>5</v>
          </cell>
          <cell r="T609">
            <v>9.3999999999999986</v>
          </cell>
          <cell r="V609">
            <v>0.75199999999999989</v>
          </cell>
          <cell r="W609">
            <v>8.6479999999999979</v>
          </cell>
          <cell r="X609">
            <v>1.49</v>
          </cell>
          <cell r="Y609">
            <v>10.137999999999998</v>
          </cell>
        </row>
        <row r="610">
          <cell r="A610" t="str">
            <v>5947-1</v>
          </cell>
          <cell r="B610">
            <v>42182</v>
          </cell>
          <cell r="C610" t="str">
            <v>2015</v>
          </cell>
          <cell r="D610" t="str">
            <v>Stefania Perrino</v>
          </cell>
          <cell r="E610" t="str">
            <v>180 High Street,Windsor</v>
          </cell>
          <cell r="F610" t="str">
            <v>Melbourne</v>
          </cell>
          <cell r="G610" t="str">
            <v>VIC</v>
          </cell>
          <cell r="H610" t="str">
            <v>Corporate</v>
          </cell>
          <cell r="I610" t="str">
            <v>Connor Betts</v>
          </cell>
          <cell r="J610" t="str">
            <v>Medium</v>
          </cell>
          <cell r="K610" t="str">
            <v>Artisan Hanging File Binders</v>
          </cell>
          <cell r="L610" t="str">
            <v>Office Supplies</v>
          </cell>
          <cell r="M610" t="str">
            <v>Small Box</v>
          </cell>
          <cell r="N610" t="str">
            <v>Regular Air</v>
          </cell>
          <cell r="O610">
            <v>42184</v>
          </cell>
          <cell r="P610">
            <v>3.65</v>
          </cell>
          <cell r="Q610">
            <v>5.98</v>
          </cell>
          <cell r="R610">
            <v>2.3300000000000005</v>
          </cell>
          <cell r="S610">
            <v>50</v>
          </cell>
          <cell r="T610">
            <v>299</v>
          </cell>
          <cell r="V610">
            <v>5.98</v>
          </cell>
          <cell r="W610">
            <v>293.02</v>
          </cell>
          <cell r="X610">
            <v>1.49</v>
          </cell>
          <cell r="Y610">
            <v>294.51</v>
          </cell>
        </row>
        <row r="611">
          <cell r="A611" t="str">
            <v>5949-1</v>
          </cell>
          <cell r="B611">
            <v>42182</v>
          </cell>
          <cell r="C611" t="str">
            <v>2015</v>
          </cell>
          <cell r="D611" t="str">
            <v>Arianne Irving</v>
          </cell>
          <cell r="E611" t="str">
            <v>14 Money Street, Perth</v>
          </cell>
          <cell r="F611" t="str">
            <v>Melbourne</v>
          </cell>
          <cell r="G611" t="str">
            <v>VIC</v>
          </cell>
          <cell r="H611" t="str">
            <v>Corporate</v>
          </cell>
          <cell r="I611" t="str">
            <v>Connor Betts</v>
          </cell>
          <cell r="J611" t="str">
            <v>High</v>
          </cell>
          <cell r="K611" t="str">
            <v>Pizazz Drawing Pencil Set</v>
          </cell>
          <cell r="L611" t="str">
            <v>Office Supplies</v>
          </cell>
          <cell r="M611" t="str">
            <v>Wrap Bag</v>
          </cell>
          <cell r="N611" t="str">
            <v>Regular Air</v>
          </cell>
          <cell r="O611">
            <v>42182</v>
          </cell>
          <cell r="P611">
            <v>1.53</v>
          </cell>
          <cell r="Q611">
            <v>2.78</v>
          </cell>
          <cell r="R611">
            <v>1.2499999999999998</v>
          </cell>
          <cell r="S611">
            <v>44</v>
          </cell>
          <cell r="T611">
            <v>122.32</v>
          </cell>
          <cell r="V611">
            <v>8.5624000000000002</v>
          </cell>
          <cell r="W611">
            <v>113.7576</v>
          </cell>
          <cell r="X611">
            <v>1.34</v>
          </cell>
          <cell r="Y611">
            <v>115.0976</v>
          </cell>
        </row>
        <row r="612">
          <cell r="A612" t="str">
            <v>5951-1</v>
          </cell>
          <cell r="B612">
            <v>42182</v>
          </cell>
          <cell r="C612" t="str">
            <v>2015</v>
          </cell>
          <cell r="D612" t="str">
            <v>Lauren Leatherbury</v>
          </cell>
          <cell r="E612" t="str">
            <v>Westfield 1 Anderson St,Chatswood</v>
          </cell>
          <cell r="F612" t="str">
            <v>Sydney</v>
          </cell>
          <cell r="G612" t="str">
            <v>NSW</v>
          </cell>
          <cell r="H612" t="str">
            <v>Corporate</v>
          </cell>
          <cell r="I612" t="str">
            <v>Nicholas Fernandes</v>
          </cell>
          <cell r="J612" t="str">
            <v>Not Specified</v>
          </cell>
          <cell r="K612" t="str">
            <v>Self-Adhesive Ring Binder Labels</v>
          </cell>
          <cell r="L612" t="str">
            <v>Office Supplies</v>
          </cell>
          <cell r="M612" t="str">
            <v>Small Box</v>
          </cell>
          <cell r="N612" t="str">
            <v>Regular Air</v>
          </cell>
          <cell r="O612">
            <v>42184</v>
          </cell>
          <cell r="P612">
            <v>2.1800000000000002</v>
          </cell>
          <cell r="Q612">
            <v>3.52</v>
          </cell>
          <cell r="R612">
            <v>1.3399999999999999</v>
          </cell>
          <cell r="S612">
            <v>1</v>
          </cell>
          <cell r="T612">
            <v>3.52</v>
          </cell>
          <cell r="V612">
            <v>0.14080000000000001</v>
          </cell>
          <cell r="W612">
            <v>3.3792</v>
          </cell>
          <cell r="X612">
            <v>6.83</v>
          </cell>
          <cell r="Y612">
            <v>10.209199999999999</v>
          </cell>
        </row>
        <row r="613">
          <cell r="A613" t="str">
            <v>5952-1</v>
          </cell>
          <cell r="B613">
            <v>42183</v>
          </cell>
          <cell r="C613" t="str">
            <v>2015</v>
          </cell>
          <cell r="D613" t="str">
            <v>Brian Dahlen</v>
          </cell>
          <cell r="E613" t="str">
            <v>1-2/299 Sussex St,Sydney</v>
          </cell>
          <cell r="F613" t="str">
            <v>Sydney</v>
          </cell>
          <cell r="G613" t="str">
            <v>NSW</v>
          </cell>
          <cell r="H613" t="str">
            <v>Small Business</v>
          </cell>
          <cell r="I613" t="str">
            <v>Aanya Zhang</v>
          </cell>
          <cell r="J613" t="str">
            <v>Medium</v>
          </cell>
          <cell r="K613" t="str">
            <v>Artisan Binder Labels</v>
          </cell>
          <cell r="L613" t="str">
            <v>Office Supplies</v>
          </cell>
          <cell r="M613" t="str">
            <v>Small Box</v>
          </cell>
          <cell r="N613" t="str">
            <v>Express Air</v>
          </cell>
          <cell r="O613">
            <v>42185</v>
          </cell>
          <cell r="P613">
            <v>2.4500000000000002</v>
          </cell>
          <cell r="Q613">
            <v>3.89</v>
          </cell>
          <cell r="R613">
            <v>1.44</v>
          </cell>
          <cell r="S613">
            <v>32</v>
          </cell>
          <cell r="T613">
            <v>124.48</v>
          </cell>
          <cell r="V613">
            <v>12.448</v>
          </cell>
          <cell r="W613">
            <v>112.03200000000001</v>
          </cell>
          <cell r="X613">
            <v>7.01</v>
          </cell>
          <cell r="Y613">
            <v>119.04200000000002</v>
          </cell>
        </row>
        <row r="614">
          <cell r="A614" t="str">
            <v>5955-1</v>
          </cell>
          <cell r="B614">
            <v>42183</v>
          </cell>
          <cell r="C614" t="str">
            <v>2015</v>
          </cell>
          <cell r="D614" t="str">
            <v>Max Engle</v>
          </cell>
          <cell r="E614" t="str">
            <v>501 George St,Sydney</v>
          </cell>
          <cell r="F614" t="str">
            <v>Sydney</v>
          </cell>
          <cell r="G614" t="str">
            <v>NSW</v>
          </cell>
          <cell r="H614" t="str">
            <v>Corporate</v>
          </cell>
          <cell r="I614" t="str">
            <v>Samantha Chairs</v>
          </cell>
          <cell r="J614" t="str">
            <v>Not Specified</v>
          </cell>
          <cell r="K614" t="str">
            <v>TechSavi Internet Navigator Keyboard</v>
          </cell>
          <cell r="L614" t="str">
            <v>Technology</v>
          </cell>
          <cell r="M614" t="str">
            <v>Small Box</v>
          </cell>
          <cell r="N614" t="str">
            <v>Regular Air</v>
          </cell>
          <cell r="O614">
            <v>42184</v>
          </cell>
          <cell r="P614">
            <v>6.51</v>
          </cell>
          <cell r="Q614">
            <v>30.98</v>
          </cell>
          <cell r="R614">
            <v>24.47</v>
          </cell>
          <cell r="S614">
            <v>6</v>
          </cell>
          <cell r="T614">
            <v>185.88</v>
          </cell>
          <cell r="V614">
            <v>1.8588</v>
          </cell>
          <cell r="W614">
            <v>184.02119999999999</v>
          </cell>
          <cell r="X614">
            <v>6.5</v>
          </cell>
          <cell r="Y614">
            <v>190.52119999999999</v>
          </cell>
        </row>
        <row r="615">
          <cell r="A615" t="str">
            <v>5956-1</v>
          </cell>
          <cell r="B615">
            <v>42184</v>
          </cell>
          <cell r="C615" t="str">
            <v>2015</v>
          </cell>
          <cell r="D615" t="str">
            <v>Michelle Huthwaite</v>
          </cell>
          <cell r="E615" t="str">
            <v>155 Oxford Street,Darlinghurst</v>
          </cell>
          <cell r="F615" t="str">
            <v>Sydney</v>
          </cell>
          <cell r="G615" t="str">
            <v>NSW</v>
          </cell>
          <cell r="H615" t="str">
            <v>Home Office</v>
          </cell>
          <cell r="I615" t="str">
            <v>Samantha Chairs</v>
          </cell>
          <cell r="J615" t="str">
            <v>Low</v>
          </cell>
          <cell r="K615" t="str">
            <v>Artisan 474 Labels</v>
          </cell>
          <cell r="L615" t="str">
            <v>Office Supplies</v>
          </cell>
          <cell r="M615" t="str">
            <v>Small Box</v>
          </cell>
          <cell r="N615" t="str">
            <v>Regular Air</v>
          </cell>
          <cell r="O615">
            <v>42188</v>
          </cell>
          <cell r="P615">
            <v>1.84</v>
          </cell>
          <cell r="Q615">
            <v>2.88</v>
          </cell>
          <cell r="R615">
            <v>1.0399999999999998</v>
          </cell>
          <cell r="S615">
            <v>49</v>
          </cell>
          <cell r="T615">
            <v>141.12</v>
          </cell>
          <cell r="V615">
            <v>1.4112</v>
          </cell>
          <cell r="W615">
            <v>139.7088</v>
          </cell>
          <cell r="X615">
            <v>0.99</v>
          </cell>
          <cell r="Y615">
            <v>140.69880000000001</v>
          </cell>
        </row>
        <row r="616">
          <cell r="A616" t="str">
            <v>5960-1</v>
          </cell>
          <cell r="B616">
            <v>42187</v>
          </cell>
          <cell r="C616" t="str">
            <v>2015</v>
          </cell>
          <cell r="D616" t="str">
            <v>Karen Ferguson</v>
          </cell>
          <cell r="E616" t="str">
            <v>1-2/299 Sussex St,Sydney</v>
          </cell>
          <cell r="F616" t="str">
            <v>Sydney</v>
          </cell>
          <cell r="G616" t="str">
            <v>NSW</v>
          </cell>
          <cell r="H616" t="str">
            <v>Home Office</v>
          </cell>
          <cell r="I616" t="str">
            <v>Aanya Zhang</v>
          </cell>
          <cell r="J616" t="str">
            <v>Critical</v>
          </cell>
          <cell r="K616" t="str">
            <v>PastelOcean Color Pencil Set</v>
          </cell>
          <cell r="L616" t="str">
            <v>Office Supplies</v>
          </cell>
          <cell r="M616" t="str">
            <v>Wrap Bag</v>
          </cell>
          <cell r="N616" t="str">
            <v>Regular Air</v>
          </cell>
          <cell r="O616">
            <v>42189</v>
          </cell>
          <cell r="P616">
            <v>11.11</v>
          </cell>
          <cell r="Q616">
            <v>19.84</v>
          </cell>
          <cell r="R616">
            <v>8.73</v>
          </cell>
          <cell r="S616">
            <v>1</v>
          </cell>
          <cell r="T616">
            <v>19.84</v>
          </cell>
          <cell r="V616">
            <v>0.99199999999999999</v>
          </cell>
          <cell r="W616">
            <v>18.847999999999999</v>
          </cell>
          <cell r="X616">
            <v>4.0999999999999996</v>
          </cell>
          <cell r="Y616">
            <v>22.948</v>
          </cell>
        </row>
        <row r="617">
          <cell r="A617" t="str">
            <v>5962-1</v>
          </cell>
          <cell r="B617">
            <v>42189</v>
          </cell>
          <cell r="C617" t="str">
            <v>2015</v>
          </cell>
          <cell r="D617" t="str">
            <v>Ralph Kennedy</v>
          </cell>
          <cell r="E617" t="str">
            <v>53-55 Liverpool Street,Sydney</v>
          </cell>
          <cell r="F617" t="str">
            <v>Sydney</v>
          </cell>
          <cell r="G617" t="str">
            <v>NSW</v>
          </cell>
          <cell r="H617" t="str">
            <v>Corporate</v>
          </cell>
          <cell r="I617" t="str">
            <v>Tina Carlton</v>
          </cell>
          <cell r="J617" t="str">
            <v>Not Specified</v>
          </cell>
          <cell r="K617" t="str">
            <v>3Max Polarizing Light Filter Sleeves</v>
          </cell>
          <cell r="L617" t="str">
            <v>Furniture</v>
          </cell>
          <cell r="M617" t="str">
            <v>Small Pack</v>
          </cell>
          <cell r="N617" t="str">
            <v>Regular Air</v>
          </cell>
          <cell r="O617">
            <v>42189</v>
          </cell>
          <cell r="P617">
            <v>11.38</v>
          </cell>
          <cell r="Q617">
            <v>18.649999999999999</v>
          </cell>
          <cell r="R617">
            <v>7.2699999999999978</v>
          </cell>
          <cell r="S617">
            <v>44</v>
          </cell>
          <cell r="T617">
            <v>820.59999999999991</v>
          </cell>
          <cell r="V617">
            <v>24.617999999999995</v>
          </cell>
          <cell r="W617">
            <v>795.98199999999997</v>
          </cell>
          <cell r="X617">
            <v>3.77</v>
          </cell>
          <cell r="Y617">
            <v>799.75199999999995</v>
          </cell>
        </row>
        <row r="618">
          <cell r="A618" t="str">
            <v>5964-1</v>
          </cell>
          <cell r="B618">
            <v>42189</v>
          </cell>
          <cell r="C618" t="str">
            <v>2015</v>
          </cell>
          <cell r="D618" t="str">
            <v>Patrick Ryan</v>
          </cell>
          <cell r="E618" t="str">
            <v>Cnr Williams Road &amp; Lechlade Ave,South Yarra</v>
          </cell>
          <cell r="F618" t="str">
            <v>Melbourne</v>
          </cell>
          <cell r="G618" t="str">
            <v>VIC</v>
          </cell>
          <cell r="H618" t="str">
            <v>Corporate</v>
          </cell>
          <cell r="I618" t="str">
            <v>Yvette Biti</v>
          </cell>
          <cell r="J618" t="str">
            <v>High</v>
          </cell>
          <cell r="K618" t="str">
            <v>Artisan Non-Stick Binders</v>
          </cell>
          <cell r="L618" t="str">
            <v>Office Supplies</v>
          </cell>
          <cell r="M618" t="str">
            <v>Small Box</v>
          </cell>
          <cell r="N618" t="str">
            <v>Regular Air</v>
          </cell>
          <cell r="O618">
            <v>42190</v>
          </cell>
          <cell r="P618">
            <v>2.74</v>
          </cell>
          <cell r="Q618">
            <v>4.49</v>
          </cell>
          <cell r="R618">
            <v>1.75</v>
          </cell>
          <cell r="S618">
            <v>15</v>
          </cell>
          <cell r="T618">
            <v>67.350000000000009</v>
          </cell>
          <cell r="V618">
            <v>3.3675000000000006</v>
          </cell>
          <cell r="W618">
            <v>63.982500000000009</v>
          </cell>
          <cell r="X618">
            <v>1.49</v>
          </cell>
          <cell r="Y618">
            <v>65.472500000000011</v>
          </cell>
        </row>
        <row r="619">
          <cell r="A619" t="str">
            <v>5965-1</v>
          </cell>
          <cell r="B619">
            <v>42190</v>
          </cell>
          <cell r="C619" t="str">
            <v>2015</v>
          </cell>
          <cell r="D619" t="str">
            <v>Larry Tron</v>
          </cell>
          <cell r="E619" t="str">
            <v>4A Lyons St,Strathfield</v>
          </cell>
          <cell r="F619" t="str">
            <v>Sydney</v>
          </cell>
          <cell r="G619" t="str">
            <v>NSW</v>
          </cell>
          <cell r="H619" t="str">
            <v>Home Office</v>
          </cell>
          <cell r="I619" t="str">
            <v>Tina Carlton</v>
          </cell>
          <cell r="J619" t="str">
            <v>Critical</v>
          </cell>
          <cell r="K619" t="str">
            <v>1726 Digital Answering Machine</v>
          </cell>
          <cell r="L619" t="str">
            <v>Technology</v>
          </cell>
          <cell r="M619" t="str">
            <v>Medium Box</v>
          </cell>
          <cell r="N619" t="str">
            <v>Regular Air</v>
          </cell>
          <cell r="O619">
            <v>42192</v>
          </cell>
          <cell r="P619">
            <v>8.82</v>
          </cell>
          <cell r="Q619">
            <v>20.99</v>
          </cell>
          <cell r="R619">
            <v>12.169999999999998</v>
          </cell>
          <cell r="S619">
            <v>49</v>
          </cell>
          <cell r="T619">
            <v>1028.51</v>
          </cell>
          <cell r="V619">
            <v>61.710599999999999</v>
          </cell>
          <cell r="W619">
            <v>966.79939999999999</v>
          </cell>
          <cell r="X619">
            <v>4.8099999999999996</v>
          </cell>
          <cell r="Y619">
            <v>971.60939999999994</v>
          </cell>
        </row>
        <row r="620">
          <cell r="A620" t="str">
            <v>5967-1</v>
          </cell>
          <cell r="B620">
            <v>42194</v>
          </cell>
          <cell r="C620" t="str">
            <v>2015</v>
          </cell>
          <cell r="D620" t="str">
            <v>Keith Dawkins</v>
          </cell>
          <cell r="E620" t="str">
            <v>402 Argyle St,Moss Vale</v>
          </cell>
          <cell r="F620" t="str">
            <v>Sydney</v>
          </cell>
          <cell r="G620" t="str">
            <v>NSW</v>
          </cell>
          <cell r="H620" t="str">
            <v>Home Office</v>
          </cell>
          <cell r="I620" t="str">
            <v>Natasha Song</v>
          </cell>
          <cell r="J620" t="str">
            <v>Not Specified</v>
          </cell>
          <cell r="K620" t="str">
            <v>3Max Polarizing Task Lamp with Clamp Arm, Light Gray</v>
          </cell>
          <cell r="L620" t="str">
            <v>Furniture</v>
          </cell>
          <cell r="M620" t="str">
            <v>Large Box</v>
          </cell>
          <cell r="N620" t="str">
            <v>Regular Air</v>
          </cell>
          <cell r="O620">
            <v>42195</v>
          </cell>
          <cell r="P620">
            <v>56.16</v>
          </cell>
          <cell r="Q620">
            <v>136.97999999999999</v>
          </cell>
          <cell r="R620">
            <v>80.819999999999993</v>
          </cell>
          <cell r="S620">
            <v>7</v>
          </cell>
          <cell r="T620">
            <v>958.8599999999999</v>
          </cell>
          <cell r="V620">
            <v>19.177199999999999</v>
          </cell>
          <cell r="W620">
            <v>939.68279999999993</v>
          </cell>
          <cell r="X620">
            <v>24.49</v>
          </cell>
          <cell r="Y620">
            <v>964.17279999999994</v>
          </cell>
        </row>
        <row r="621">
          <cell r="A621" t="str">
            <v>5968-1</v>
          </cell>
          <cell r="B621">
            <v>42196</v>
          </cell>
          <cell r="C621" t="str">
            <v>2015</v>
          </cell>
          <cell r="D621" t="str">
            <v>Matthew Grinstein</v>
          </cell>
          <cell r="E621" t="str">
            <v>105 Pitt St,Sydney</v>
          </cell>
          <cell r="F621" t="str">
            <v>Sydney</v>
          </cell>
          <cell r="G621" t="str">
            <v>NSW</v>
          </cell>
          <cell r="H621" t="str">
            <v>Small Business</v>
          </cell>
          <cell r="I621" t="str">
            <v>Charlie Bui</v>
          </cell>
          <cell r="J621" t="str">
            <v>Medium</v>
          </cell>
          <cell r="K621" t="str">
            <v>Smiths Pushpins</v>
          </cell>
          <cell r="L621" t="str">
            <v>Office Supplies</v>
          </cell>
          <cell r="M621" t="str">
            <v>Wrap Bag</v>
          </cell>
          <cell r="N621" t="str">
            <v>Regular Air</v>
          </cell>
          <cell r="O621">
            <v>42198</v>
          </cell>
          <cell r="P621">
            <v>0.94</v>
          </cell>
          <cell r="Q621">
            <v>1.88</v>
          </cell>
          <cell r="R621">
            <v>0.94</v>
          </cell>
          <cell r="S621">
            <v>22</v>
          </cell>
          <cell r="T621">
            <v>41.36</v>
          </cell>
          <cell r="V621">
            <v>2.8952000000000004</v>
          </cell>
          <cell r="W621">
            <v>38.464799999999997</v>
          </cell>
          <cell r="X621">
            <v>0.79</v>
          </cell>
          <cell r="Y621">
            <v>39.254799999999996</v>
          </cell>
        </row>
        <row r="622">
          <cell r="A622" t="str">
            <v>5969-1</v>
          </cell>
          <cell r="B622">
            <v>42197</v>
          </cell>
          <cell r="C622" t="str">
            <v>2015</v>
          </cell>
          <cell r="D622" t="str">
            <v>Bryan Spruell</v>
          </cell>
          <cell r="E622" t="str">
            <v>1 John Street,Waterloo</v>
          </cell>
          <cell r="F622" t="str">
            <v>Sydney</v>
          </cell>
          <cell r="G622" t="str">
            <v>NSW</v>
          </cell>
          <cell r="H622" t="str">
            <v>Home Office</v>
          </cell>
          <cell r="I622" t="str">
            <v>Charlie Bui</v>
          </cell>
          <cell r="J622" t="str">
            <v>Low</v>
          </cell>
          <cell r="K622" t="str">
            <v>Brown Kraft Recycled Envelopes</v>
          </cell>
          <cell r="L622" t="str">
            <v>Office Supplies</v>
          </cell>
          <cell r="M622" t="str">
            <v>Small Box</v>
          </cell>
          <cell r="N622" t="str">
            <v>Regular Air</v>
          </cell>
          <cell r="O622">
            <v>42199</v>
          </cell>
          <cell r="P622">
            <v>11.04</v>
          </cell>
          <cell r="Q622">
            <v>16.98</v>
          </cell>
          <cell r="R622">
            <v>5.9400000000000013</v>
          </cell>
          <cell r="S622">
            <v>1</v>
          </cell>
          <cell r="T622">
            <v>16.98</v>
          </cell>
          <cell r="V622">
            <v>0.50939999999999996</v>
          </cell>
          <cell r="W622">
            <v>16.470600000000001</v>
          </cell>
          <cell r="X622">
            <v>12.39</v>
          </cell>
          <cell r="Y622">
            <v>28.860600000000002</v>
          </cell>
        </row>
        <row r="623">
          <cell r="A623" t="str">
            <v>5971-1</v>
          </cell>
          <cell r="B623">
            <v>42199</v>
          </cell>
          <cell r="C623" t="str">
            <v>2015</v>
          </cell>
          <cell r="D623" t="str">
            <v>Raymond Fair</v>
          </cell>
          <cell r="E623" t="str">
            <v>188 Pitt Street,Sydney</v>
          </cell>
          <cell r="F623" t="str">
            <v>Sydney</v>
          </cell>
          <cell r="G623" t="str">
            <v>NSW</v>
          </cell>
          <cell r="H623" t="str">
            <v>Small Business</v>
          </cell>
          <cell r="I623" t="str">
            <v>Tina Carlton</v>
          </cell>
          <cell r="J623" t="str">
            <v>Low</v>
          </cell>
          <cell r="K623" t="str">
            <v>Wirebound Message Book, 4 per Page</v>
          </cell>
          <cell r="L623" t="str">
            <v>Office Supplies</v>
          </cell>
          <cell r="M623" t="str">
            <v>Wrap Bag</v>
          </cell>
          <cell r="N623" t="str">
            <v>Express Air</v>
          </cell>
          <cell r="O623">
            <v>42204</v>
          </cell>
          <cell r="P623">
            <v>3.48</v>
          </cell>
          <cell r="Q623">
            <v>5.43</v>
          </cell>
          <cell r="R623">
            <v>1.9499999999999997</v>
          </cell>
          <cell r="S623">
            <v>48</v>
          </cell>
          <cell r="T623">
            <v>260.64</v>
          </cell>
          <cell r="V623">
            <v>13.032</v>
          </cell>
          <cell r="W623">
            <v>247.60799999999998</v>
          </cell>
          <cell r="X623">
            <v>0.95</v>
          </cell>
          <cell r="Y623">
            <v>248.55799999999996</v>
          </cell>
        </row>
        <row r="624">
          <cell r="A624" t="str">
            <v>5973-1</v>
          </cell>
          <cell r="B624">
            <v>42200</v>
          </cell>
          <cell r="C624" t="str">
            <v>2015</v>
          </cell>
          <cell r="D624" t="str">
            <v>Barry Gonzalez</v>
          </cell>
          <cell r="E624" t="str">
            <v>1/20 Pendal Lane, Perth</v>
          </cell>
          <cell r="F624" t="str">
            <v>Sydney</v>
          </cell>
          <cell r="G624" t="str">
            <v>NSW</v>
          </cell>
          <cell r="H624" t="str">
            <v>Consumer</v>
          </cell>
          <cell r="I624" t="str">
            <v>Phoebe Gour</v>
          </cell>
          <cell r="J624" t="str">
            <v>Low</v>
          </cell>
          <cell r="K624" t="str">
            <v>Lumi Crayons</v>
          </cell>
          <cell r="L624" t="str">
            <v>Office Supplies</v>
          </cell>
          <cell r="M624" t="str">
            <v>Wrap Bag</v>
          </cell>
          <cell r="N624" t="str">
            <v>Regular Air</v>
          </cell>
          <cell r="O624">
            <v>42204</v>
          </cell>
          <cell r="P624">
            <v>5.22</v>
          </cell>
          <cell r="Q624">
            <v>9.85</v>
          </cell>
          <cell r="R624">
            <v>4.63</v>
          </cell>
          <cell r="S624">
            <v>21</v>
          </cell>
          <cell r="T624">
            <v>206.85</v>
          </cell>
          <cell r="V624">
            <v>20.685000000000002</v>
          </cell>
          <cell r="W624">
            <v>186.16499999999999</v>
          </cell>
          <cell r="X624">
            <v>4.82</v>
          </cell>
          <cell r="Y624">
            <v>190.98499999999999</v>
          </cell>
        </row>
        <row r="625">
          <cell r="A625" t="str">
            <v>5974-1</v>
          </cell>
          <cell r="B625">
            <v>42201</v>
          </cell>
          <cell r="C625" t="str">
            <v>2015</v>
          </cell>
          <cell r="D625" t="str">
            <v>Mike Kennedy</v>
          </cell>
          <cell r="E625" t="str">
            <v>99 Lygon Street,East Brunswick</v>
          </cell>
          <cell r="F625" t="str">
            <v>Melbourne</v>
          </cell>
          <cell r="G625" t="str">
            <v>VIC</v>
          </cell>
          <cell r="H625" t="str">
            <v>Corporate</v>
          </cell>
          <cell r="I625" t="str">
            <v>Connor Betts</v>
          </cell>
          <cell r="J625" t="str">
            <v>Low</v>
          </cell>
          <cell r="K625" t="str">
            <v>Colored Push Pins</v>
          </cell>
          <cell r="L625" t="str">
            <v>Office Supplies</v>
          </cell>
          <cell r="M625" t="str">
            <v>Wrap Bag</v>
          </cell>
          <cell r="N625" t="str">
            <v>Regular Air</v>
          </cell>
          <cell r="O625">
            <v>42205</v>
          </cell>
          <cell r="P625">
            <v>0.92</v>
          </cell>
          <cell r="Q625">
            <v>1.81</v>
          </cell>
          <cell r="R625">
            <v>0.89</v>
          </cell>
          <cell r="S625">
            <v>48</v>
          </cell>
          <cell r="T625">
            <v>86.88</v>
          </cell>
          <cell r="V625">
            <v>1.7376</v>
          </cell>
          <cell r="W625">
            <v>85.142399999999995</v>
          </cell>
          <cell r="X625">
            <v>1.56</v>
          </cell>
          <cell r="Y625">
            <v>86.702399999999997</v>
          </cell>
        </row>
        <row r="626">
          <cell r="A626" t="str">
            <v>5976-1</v>
          </cell>
          <cell r="B626">
            <v>42202</v>
          </cell>
          <cell r="C626" t="str">
            <v>2015</v>
          </cell>
          <cell r="D626" t="str">
            <v>Barry Blumstein</v>
          </cell>
          <cell r="E626" t="str">
            <v>3/265 Stirling Street, Perth</v>
          </cell>
          <cell r="F626" t="str">
            <v>Sydney</v>
          </cell>
          <cell r="G626" t="str">
            <v>NSW</v>
          </cell>
          <cell r="H626" t="str">
            <v>Small Business</v>
          </cell>
          <cell r="I626" t="str">
            <v>Samantha Chairs</v>
          </cell>
          <cell r="J626" t="str">
            <v>High</v>
          </cell>
          <cell r="K626" t="str">
            <v>Message Book, One Form per Page</v>
          </cell>
          <cell r="L626" t="str">
            <v>Office Supplies</v>
          </cell>
          <cell r="M626" t="str">
            <v>Wrap Bag</v>
          </cell>
          <cell r="N626" t="str">
            <v>Regular Air</v>
          </cell>
          <cell r="O626">
            <v>42202</v>
          </cell>
          <cell r="P626">
            <v>2.41</v>
          </cell>
          <cell r="Q626">
            <v>3.71</v>
          </cell>
          <cell r="R626">
            <v>1.2999999999999998</v>
          </cell>
          <cell r="S626">
            <v>13</v>
          </cell>
          <cell r="T626">
            <v>48.23</v>
          </cell>
          <cell r="V626">
            <v>2.8937999999999997</v>
          </cell>
          <cell r="W626">
            <v>45.336199999999998</v>
          </cell>
          <cell r="X626">
            <v>1.93</v>
          </cell>
          <cell r="Y626">
            <v>47.266199999999998</v>
          </cell>
        </row>
        <row r="627">
          <cell r="A627" t="str">
            <v>5977-1</v>
          </cell>
          <cell r="B627">
            <v>42203</v>
          </cell>
          <cell r="C627" t="str">
            <v>2015</v>
          </cell>
          <cell r="D627" t="str">
            <v>Cynthia Delaney</v>
          </cell>
          <cell r="E627" t="str">
            <v>1/160 Anzac Parade,Kensington</v>
          </cell>
          <cell r="F627" t="str">
            <v>Sydney</v>
          </cell>
          <cell r="G627" t="str">
            <v>NSW</v>
          </cell>
          <cell r="H627" t="str">
            <v>Corporate</v>
          </cell>
          <cell r="I627" t="str">
            <v>Natasha Song</v>
          </cell>
          <cell r="J627" t="str">
            <v>High</v>
          </cell>
          <cell r="K627" t="str">
            <v>Apex Preferred Stainless Steel Scissors</v>
          </cell>
          <cell r="L627" t="str">
            <v>Office Supplies</v>
          </cell>
          <cell r="M627" t="str">
            <v>Small Pack</v>
          </cell>
          <cell r="N627" t="str">
            <v>Regular Air</v>
          </cell>
          <cell r="O627">
            <v>42205</v>
          </cell>
          <cell r="P627">
            <v>2.5</v>
          </cell>
          <cell r="Q627">
            <v>5.68</v>
          </cell>
          <cell r="R627">
            <v>3.1799999999999997</v>
          </cell>
          <cell r="S627">
            <v>21</v>
          </cell>
          <cell r="T627">
            <v>119.28</v>
          </cell>
          <cell r="V627">
            <v>8.3496000000000006</v>
          </cell>
          <cell r="W627">
            <v>110.93040000000001</v>
          </cell>
          <cell r="X627">
            <v>3.6</v>
          </cell>
          <cell r="Y627">
            <v>114.5304</v>
          </cell>
        </row>
        <row r="628">
          <cell r="A628" t="str">
            <v>5978-1</v>
          </cell>
          <cell r="B628">
            <v>42203</v>
          </cell>
          <cell r="C628" t="str">
            <v>2015</v>
          </cell>
          <cell r="D628" t="str">
            <v>Susan Vittorini</v>
          </cell>
          <cell r="E628" t="str">
            <v>3 Carrington Road ,Box Hill</v>
          </cell>
          <cell r="F628" t="str">
            <v>Melbourne</v>
          </cell>
          <cell r="G628" t="str">
            <v>VIC</v>
          </cell>
          <cell r="H628" t="str">
            <v>Corporate</v>
          </cell>
          <cell r="I628" t="str">
            <v>Yvette Biti</v>
          </cell>
          <cell r="J628" t="str">
            <v>High</v>
          </cell>
          <cell r="K628" t="str">
            <v>Artisan Poly Binder Pockets</v>
          </cell>
          <cell r="L628" t="str">
            <v>Office Supplies</v>
          </cell>
          <cell r="M628" t="str">
            <v>Small Box</v>
          </cell>
          <cell r="N628" t="str">
            <v>Regular Air</v>
          </cell>
          <cell r="O628">
            <v>42205</v>
          </cell>
          <cell r="P628">
            <v>2.2599999999999998</v>
          </cell>
          <cell r="Q628">
            <v>3.58</v>
          </cell>
          <cell r="R628">
            <v>1.3200000000000003</v>
          </cell>
          <cell r="S628">
            <v>43</v>
          </cell>
          <cell r="T628">
            <v>153.94</v>
          </cell>
          <cell r="V628">
            <v>12.315200000000001</v>
          </cell>
          <cell r="W628">
            <v>141.62479999999999</v>
          </cell>
          <cell r="X628">
            <v>5.47</v>
          </cell>
          <cell r="Y628">
            <v>147.09479999999999</v>
          </cell>
        </row>
        <row r="629">
          <cell r="A629" t="str">
            <v>5980-1</v>
          </cell>
          <cell r="B629">
            <v>42204</v>
          </cell>
          <cell r="C629" t="str">
            <v>2015</v>
          </cell>
          <cell r="D629" t="str">
            <v>Laura Armstrong</v>
          </cell>
          <cell r="E629" t="str">
            <v>240-242 Johnston Street,Fitzroy</v>
          </cell>
          <cell r="F629" t="str">
            <v>Melbourne</v>
          </cell>
          <cell r="G629" t="str">
            <v>VIC</v>
          </cell>
          <cell r="H629" t="str">
            <v>Small Business</v>
          </cell>
          <cell r="I629" t="str">
            <v>Connor Betts</v>
          </cell>
          <cell r="J629" t="str">
            <v>Medium</v>
          </cell>
          <cell r="K629" t="str">
            <v>Binder Posts</v>
          </cell>
          <cell r="L629" t="str">
            <v>Office Supplies</v>
          </cell>
          <cell r="M629" t="str">
            <v>Small Box</v>
          </cell>
          <cell r="N629" t="str">
            <v>Regular Air</v>
          </cell>
          <cell r="O629">
            <v>42205</v>
          </cell>
          <cell r="P629">
            <v>3.5</v>
          </cell>
          <cell r="Q629">
            <v>5.74</v>
          </cell>
          <cell r="R629">
            <v>2.2400000000000002</v>
          </cell>
          <cell r="S629">
            <v>41</v>
          </cell>
          <cell r="T629">
            <v>235.34</v>
          </cell>
          <cell r="V629">
            <v>18.827200000000001</v>
          </cell>
          <cell r="W629">
            <v>216.5128</v>
          </cell>
          <cell r="X629">
            <v>5.01</v>
          </cell>
          <cell r="Y629">
            <v>221.52279999999999</v>
          </cell>
        </row>
        <row r="630">
          <cell r="A630" t="str">
            <v>5982-1</v>
          </cell>
          <cell r="B630">
            <v>42205</v>
          </cell>
          <cell r="C630" t="str">
            <v>2015</v>
          </cell>
          <cell r="D630" t="str">
            <v>Neil French</v>
          </cell>
          <cell r="E630" t="str">
            <v>523 King St,Newtown</v>
          </cell>
          <cell r="F630" t="str">
            <v>Sydney</v>
          </cell>
          <cell r="G630" t="str">
            <v>NSW</v>
          </cell>
          <cell r="H630" t="str">
            <v>Consumer</v>
          </cell>
          <cell r="I630" t="str">
            <v>Aanya Zhang</v>
          </cell>
          <cell r="J630" t="str">
            <v>Critical</v>
          </cell>
          <cell r="K630" t="str">
            <v>Apex Forged Steel Scissors with Black Enamel Handles</v>
          </cell>
          <cell r="L630" t="str">
            <v>Office Supplies</v>
          </cell>
          <cell r="M630" t="str">
            <v>Small Pack</v>
          </cell>
          <cell r="N630" t="str">
            <v>Regular Air</v>
          </cell>
          <cell r="O630">
            <v>42208</v>
          </cell>
          <cell r="P630">
            <v>4.0999999999999996</v>
          </cell>
          <cell r="Q630">
            <v>9.31</v>
          </cell>
          <cell r="R630">
            <v>5.2100000000000009</v>
          </cell>
          <cell r="S630">
            <v>26</v>
          </cell>
          <cell r="T630">
            <v>242.06</v>
          </cell>
          <cell r="V630">
            <v>14.5236</v>
          </cell>
          <cell r="W630">
            <v>227.53640000000001</v>
          </cell>
          <cell r="X630">
            <v>3.98</v>
          </cell>
          <cell r="Y630">
            <v>231.5164</v>
          </cell>
        </row>
        <row r="631">
          <cell r="A631" t="str">
            <v>5983-1</v>
          </cell>
          <cell r="B631">
            <v>42208</v>
          </cell>
          <cell r="C631" t="str">
            <v>2015</v>
          </cell>
          <cell r="D631" t="str">
            <v>Magdelene Morse</v>
          </cell>
          <cell r="E631" t="str">
            <v>53 Riley Street,Woolloomooloo</v>
          </cell>
          <cell r="F631" t="str">
            <v>Sydney</v>
          </cell>
          <cell r="G631" t="str">
            <v>NSW</v>
          </cell>
          <cell r="H631" t="str">
            <v>Home Office</v>
          </cell>
          <cell r="I631" t="str">
            <v>Tina Carlton</v>
          </cell>
          <cell r="J631" t="str">
            <v>Low</v>
          </cell>
          <cell r="K631" t="str">
            <v>Adesso Programmable 142-Key Keyboard</v>
          </cell>
          <cell r="L631" t="str">
            <v>Technology</v>
          </cell>
          <cell r="M631" t="str">
            <v>Small Box</v>
          </cell>
          <cell r="N631" t="str">
            <v>Regular Air</v>
          </cell>
          <cell r="O631">
            <v>42215</v>
          </cell>
          <cell r="P631">
            <v>32.020000000000003</v>
          </cell>
          <cell r="Q631">
            <v>152.47999999999999</v>
          </cell>
          <cell r="R631">
            <v>120.45999999999998</v>
          </cell>
          <cell r="S631">
            <v>14</v>
          </cell>
          <cell r="T631">
            <v>2134.7199999999998</v>
          </cell>
          <cell r="V631">
            <v>64.041599999999988</v>
          </cell>
          <cell r="W631">
            <v>2070.6783999999998</v>
          </cell>
          <cell r="X631">
            <v>4</v>
          </cell>
          <cell r="Y631">
            <v>2074.6783999999998</v>
          </cell>
        </row>
        <row r="632">
          <cell r="A632" t="str">
            <v>5984-1</v>
          </cell>
          <cell r="B632">
            <v>42208</v>
          </cell>
          <cell r="C632" t="str">
            <v>2015</v>
          </cell>
          <cell r="D632" t="str">
            <v>Frank Atkinson</v>
          </cell>
          <cell r="E632" t="str">
            <v>188 Pitt Street,Sydney</v>
          </cell>
          <cell r="F632" t="str">
            <v>Sydney</v>
          </cell>
          <cell r="G632" t="str">
            <v>NSW</v>
          </cell>
          <cell r="H632" t="str">
            <v>Corporate</v>
          </cell>
          <cell r="I632" t="str">
            <v>Tina Carlton</v>
          </cell>
          <cell r="J632" t="str">
            <v>Not Specified</v>
          </cell>
          <cell r="K632" t="str">
            <v>Alto Memo Cubes</v>
          </cell>
          <cell r="L632" t="str">
            <v>Office Supplies</v>
          </cell>
          <cell r="M632" t="str">
            <v>Wrap Bag</v>
          </cell>
          <cell r="N632" t="str">
            <v>Express Air</v>
          </cell>
          <cell r="O632">
            <v>42209</v>
          </cell>
          <cell r="P632">
            <v>3.32</v>
          </cell>
          <cell r="Q632">
            <v>5.18</v>
          </cell>
          <cell r="R632">
            <v>1.8599999999999999</v>
          </cell>
          <cell r="S632">
            <v>1</v>
          </cell>
          <cell r="T632">
            <v>5.18</v>
          </cell>
          <cell r="V632">
            <v>0</v>
          </cell>
          <cell r="W632">
            <v>5.18</v>
          </cell>
          <cell r="X632">
            <v>2.04</v>
          </cell>
          <cell r="Y632">
            <v>7.22</v>
          </cell>
        </row>
        <row r="633">
          <cell r="A633" t="str">
            <v>5985-1</v>
          </cell>
          <cell r="B633">
            <v>42208</v>
          </cell>
          <cell r="C633" t="str">
            <v>2015</v>
          </cell>
          <cell r="D633" t="str">
            <v>Scott Cohen</v>
          </cell>
          <cell r="E633" t="str">
            <v>240-242 Johnston Street,Fitzroy</v>
          </cell>
          <cell r="F633" t="str">
            <v>Melbourne</v>
          </cell>
          <cell r="G633" t="str">
            <v>VIC</v>
          </cell>
          <cell r="H633" t="str">
            <v>Consumer</v>
          </cell>
          <cell r="I633" t="str">
            <v>Connor Betts</v>
          </cell>
          <cell r="J633" t="str">
            <v>Critical</v>
          </cell>
          <cell r="K633" t="str">
            <v>Smiths General Use 3-Ring Binders</v>
          </cell>
          <cell r="L633" t="str">
            <v>Office Supplies</v>
          </cell>
          <cell r="M633" t="str">
            <v>Small Box</v>
          </cell>
          <cell r="N633" t="str">
            <v>Regular Air</v>
          </cell>
          <cell r="O633">
            <v>42209</v>
          </cell>
          <cell r="P633">
            <v>1.18</v>
          </cell>
          <cell r="Q633">
            <v>1.88</v>
          </cell>
          <cell r="R633">
            <v>0.7</v>
          </cell>
          <cell r="S633">
            <v>8</v>
          </cell>
          <cell r="T633">
            <v>15.04</v>
          </cell>
          <cell r="V633">
            <v>0.752</v>
          </cell>
          <cell r="W633">
            <v>14.287999999999998</v>
          </cell>
          <cell r="X633">
            <v>1.49</v>
          </cell>
          <cell r="Y633">
            <v>15.777999999999999</v>
          </cell>
        </row>
        <row r="634">
          <cell r="A634" t="str">
            <v>5987-1</v>
          </cell>
          <cell r="B634">
            <v>42209</v>
          </cell>
          <cell r="C634" t="str">
            <v>2015</v>
          </cell>
          <cell r="D634" t="str">
            <v>Christopher Conant</v>
          </cell>
          <cell r="E634" t="str">
            <v>120 Hardware St,Melbourne</v>
          </cell>
          <cell r="F634" t="str">
            <v>Melbourne</v>
          </cell>
          <cell r="G634" t="str">
            <v>VIC</v>
          </cell>
          <cell r="H634" t="str">
            <v>Home Office</v>
          </cell>
          <cell r="I634" t="str">
            <v>Connor Betts</v>
          </cell>
          <cell r="J634" t="str">
            <v>High</v>
          </cell>
          <cell r="K634" t="str">
            <v>Artisan Reinforcements for Hole-Punch Pages</v>
          </cell>
          <cell r="L634" t="str">
            <v>Office Supplies</v>
          </cell>
          <cell r="M634" t="str">
            <v>Small Box</v>
          </cell>
          <cell r="N634" t="str">
            <v>Regular Air</v>
          </cell>
          <cell r="O634">
            <v>42211</v>
          </cell>
          <cell r="P634">
            <v>1.19</v>
          </cell>
          <cell r="Q634">
            <v>1.98</v>
          </cell>
          <cell r="R634">
            <v>0.79</v>
          </cell>
          <cell r="S634">
            <v>21</v>
          </cell>
          <cell r="T634">
            <v>41.58</v>
          </cell>
          <cell r="V634">
            <v>0.4158</v>
          </cell>
          <cell r="W634">
            <v>41.164200000000001</v>
          </cell>
          <cell r="X634">
            <v>4.7699999999999996</v>
          </cell>
          <cell r="Y634">
            <v>45.934200000000004</v>
          </cell>
        </row>
        <row r="635">
          <cell r="A635" t="str">
            <v>5988-1</v>
          </cell>
          <cell r="B635">
            <v>42209</v>
          </cell>
          <cell r="C635" t="str">
            <v>2015</v>
          </cell>
          <cell r="D635" t="str">
            <v>Fred Chung</v>
          </cell>
          <cell r="E635" t="str">
            <v>81 MacLeay St,Potts Point</v>
          </cell>
          <cell r="F635" t="str">
            <v>Sydney</v>
          </cell>
          <cell r="G635" t="str">
            <v>NSW</v>
          </cell>
          <cell r="H635" t="str">
            <v>Corporate</v>
          </cell>
          <cell r="I635" t="str">
            <v>Samantha Chairs</v>
          </cell>
          <cell r="J635" t="str">
            <v>High</v>
          </cell>
          <cell r="K635" t="str">
            <v>Pizazz Colored Pencils</v>
          </cell>
          <cell r="L635" t="str">
            <v>Office Supplies</v>
          </cell>
          <cell r="M635" t="str">
            <v>Wrap Bag</v>
          </cell>
          <cell r="N635" t="str">
            <v>Regular Air</v>
          </cell>
          <cell r="O635">
            <v>42211</v>
          </cell>
          <cell r="P635">
            <v>1.76</v>
          </cell>
          <cell r="Q635">
            <v>2.94</v>
          </cell>
          <cell r="R635">
            <v>1.18</v>
          </cell>
          <cell r="S635">
            <v>35</v>
          </cell>
          <cell r="T635">
            <v>102.89999999999999</v>
          </cell>
          <cell r="V635">
            <v>9.2609999999999992</v>
          </cell>
          <cell r="W635">
            <v>93.638999999999996</v>
          </cell>
          <cell r="X635">
            <v>0.81</v>
          </cell>
          <cell r="Y635">
            <v>94.448999999999998</v>
          </cell>
        </row>
        <row r="636">
          <cell r="A636" t="str">
            <v>5990-1</v>
          </cell>
          <cell r="B636">
            <v>42210</v>
          </cell>
          <cell r="C636" t="str">
            <v>2015</v>
          </cell>
          <cell r="D636" t="str">
            <v>Annie Thurman</v>
          </cell>
          <cell r="E636" t="str">
            <v>101 Murray Street, Perth</v>
          </cell>
          <cell r="F636" t="str">
            <v>Melbourne</v>
          </cell>
          <cell r="G636" t="str">
            <v>VIC</v>
          </cell>
          <cell r="H636" t="str">
            <v>Home Office</v>
          </cell>
          <cell r="I636" t="str">
            <v>Yvette Biti</v>
          </cell>
          <cell r="J636" t="str">
            <v>High</v>
          </cell>
          <cell r="K636" t="str">
            <v>Adams "While You Were Out" Message Pads</v>
          </cell>
          <cell r="L636" t="str">
            <v>Office Supplies</v>
          </cell>
          <cell r="M636" t="str">
            <v>Wrap Bag</v>
          </cell>
          <cell r="N636" t="str">
            <v>Express Air</v>
          </cell>
          <cell r="O636">
            <v>42211</v>
          </cell>
          <cell r="P636">
            <v>1.88</v>
          </cell>
          <cell r="Q636">
            <v>3.14</v>
          </cell>
          <cell r="R636">
            <v>1.2600000000000002</v>
          </cell>
          <cell r="S636">
            <v>43</v>
          </cell>
          <cell r="T636">
            <v>135.02000000000001</v>
          </cell>
          <cell r="V636">
            <v>9.4514000000000014</v>
          </cell>
          <cell r="W636">
            <v>125.5686</v>
          </cell>
          <cell r="X636">
            <v>1.1399999999999999</v>
          </cell>
          <cell r="Y636">
            <v>126.7086</v>
          </cell>
        </row>
        <row r="637">
          <cell r="A637" t="str">
            <v>5990-2</v>
          </cell>
          <cell r="B637">
            <v>42210</v>
          </cell>
          <cell r="C637" t="str">
            <v>2015</v>
          </cell>
          <cell r="D637" t="str">
            <v>Annie Thurman</v>
          </cell>
          <cell r="E637" t="str">
            <v>101 Murray Street, Perth</v>
          </cell>
          <cell r="F637" t="str">
            <v>Melbourne</v>
          </cell>
          <cell r="G637" t="str">
            <v>VIC</v>
          </cell>
          <cell r="H637" t="str">
            <v>Home Office</v>
          </cell>
          <cell r="I637" t="str">
            <v>Yvette Biti</v>
          </cell>
          <cell r="J637" t="str">
            <v>High</v>
          </cell>
          <cell r="K637" t="str">
            <v>Barrel Sharpener</v>
          </cell>
          <cell r="L637" t="str">
            <v>Office Supplies</v>
          </cell>
          <cell r="M637" t="str">
            <v>Small Pack</v>
          </cell>
          <cell r="N637" t="str">
            <v>Regular Air</v>
          </cell>
          <cell r="O637">
            <v>42212</v>
          </cell>
          <cell r="P637">
            <v>1.46</v>
          </cell>
          <cell r="Q637">
            <v>3.57</v>
          </cell>
          <cell r="R637">
            <v>2.11</v>
          </cell>
          <cell r="S637">
            <v>19</v>
          </cell>
          <cell r="T637">
            <v>67.83</v>
          </cell>
          <cell r="V637">
            <v>5.4264000000000001</v>
          </cell>
          <cell r="W637">
            <v>62.403599999999997</v>
          </cell>
          <cell r="X637">
            <v>4.17</v>
          </cell>
          <cell r="Y637">
            <v>66.573599999999999</v>
          </cell>
        </row>
        <row r="638">
          <cell r="A638" t="str">
            <v>5993-1</v>
          </cell>
          <cell r="B638">
            <v>42210</v>
          </cell>
          <cell r="C638" t="str">
            <v>2015</v>
          </cell>
          <cell r="D638" t="str">
            <v>Greg Tran</v>
          </cell>
          <cell r="E638" t="str">
            <v>Crown Complex,Southbank</v>
          </cell>
          <cell r="F638" t="str">
            <v>Melbourne</v>
          </cell>
          <cell r="G638" t="str">
            <v>VIC</v>
          </cell>
          <cell r="H638" t="str">
            <v>Home Office</v>
          </cell>
          <cell r="I638" t="str">
            <v>Yvette Biti</v>
          </cell>
          <cell r="J638" t="str">
            <v>Critical</v>
          </cell>
          <cell r="K638" t="str">
            <v>Self-Adhesive Removable Labels</v>
          </cell>
          <cell r="L638" t="str">
            <v>Office Supplies</v>
          </cell>
          <cell r="M638" t="str">
            <v>Small Box</v>
          </cell>
          <cell r="N638" t="str">
            <v>Regular Air</v>
          </cell>
          <cell r="O638">
            <v>42213</v>
          </cell>
          <cell r="P638">
            <v>1.98</v>
          </cell>
          <cell r="Q638">
            <v>3.15</v>
          </cell>
          <cell r="R638">
            <v>1.17</v>
          </cell>
          <cell r="S638">
            <v>17</v>
          </cell>
          <cell r="T638">
            <v>53.55</v>
          </cell>
          <cell r="V638">
            <v>2.6775000000000002</v>
          </cell>
          <cell r="W638">
            <v>50.872499999999995</v>
          </cell>
          <cell r="X638">
            <v>0.49</v>
          </cell>
          <cell r="Y638">
            <v>51.362499999999997</v>
          </cell>
        </row>
        <row r="639">
          <cell r="A639" t="str">
            <v>5994-1</v>
          </cell>
          <cell r="B639">
            <v>42211</v>
          </cell>
          <cell r="C639" t="str">
            <v>2015</v>
          </cell>
          <cell r="D639" t="str">
            <v>Jack OBriant</v>
          </cell>
          <cell r="E639" t="str">
            <v>85-113 Dunning Ave,Rosebery</v>
          </cell>
          <cell r="F639" t="str">
            <v>Sydney</v>
          </cell>
          <cell r="G639" t="str">
            <v>NSW</v>
          </cell>
          <cell r="H639" t="str">
            <v>Consumer</v>
          </cell>
          <cell r="I639" t="str">
            <v>Mihael Khan</v>
          </cell>
          <cell r="J639" t="str">
            <v>Medium</v>
          </cell>
          <cell r="K639" t="str">
            <v>Alto Parchment Paper, Assorted Colors</v>
          </cell>
          <cell r="L639" t="str">
            <v>Office Supplies</v>
          </cell>
          <cell r="M639" t="str">
            <v>Small Box</v>
          </cell>
          <cell r="N639" t="str">
            <v>Express Air</v>
          </cell>
          <cell r="O639">
            <v>42212</v>
          </cell>
          <cell r="P639">
            <v>4.59</v>
          </cell>
          <cell r="Q639">
            <v>7.28</v>
          </cell>
          <cell r="R639">
            <v>2.6900000000000004</v>
          </cell>
          <cell r="S639">
            <v>20</v>
          </cell>
          <cell r="T639">
            <v>145.6</v>
          </cell>
          <cell r="V639">
            <v>14.56</v>
          </cell>
          <cell r="W639">
            <v>131.04</v>
          </cell>
          <cell r="X639">
            <v>11.15</v>
          </cell>
          <cell r="Y639">
            <v>142.19</v>
          </cell>
        </row>
        <row r="640">
          <cell r="A640" t="str">
            <v>5996-1</v>
          </cell>
          <cell r="B640">
            <v>42211</v>
          </cell>
          <cell r="C640" t="str">
            <v>2015</v>
          </cell>
          <cell r="D640" t="str">
            <v>Carl Jackson</v>
          </cell>
          <cell r="E640" t="str">
            <v>6 Mary St,Newtown</v>
          </cell>
          <cell r="F640" t="str">
            <v>Sydney</v>
          </cell>
          <cell r="G640" t="str">
            <v>NSW</v>
          </cell>
          <cell r="H640" t="str">
            <v>Corporate</v>
          </cell>
          <cell r="I640" t="str">
            <v>Samantha Chairs</v>
          </cell>
          <cell r="J640" t="str">
            <v>High</v>
          </cell>
          <cell r="K640" t="str">
            <v>Angle-D Binders with Locking Rings, Label Holders</v>
          </cell>
          <cell r="L640" t="str">
            <v>Office Supplies</v>
          </cell>
          <cell r="M640" t="str">
            <v>Small Box</v>
          </cell>
          <cell r="N640" t="str">
            <v>Regular Air</v>
          </cell>
          <cell r="O640">
            <v>42211</v>
          </cell>
          <cell r="P640">
            <v>4.53</v>
          </cell>
          <cell r="Q640">
            <v>7.3</v>
          </cell>
          <cell r="R640">
            <v>2.7699999999999996</v>
          </cell>
          <cell r="S640">
            <v>12</v>
          </cell>
          <cell r="T640">
            <v>87.6</v>
          </cell>
          <cell r="V640">
            <v>2.6279999999999997</v>
          </cell>
          <cell r="W640">
            <v>84.971999999999994</v>
          </cell>
          <cell r="X640">
            <v>7.72</v>
          </cell>
          <cell r="Y640">
            <v>92.691999999999993</v>
          </cell>
        </row>
        <row r="641">
          <cell r="A641" t="str">
            <v>5997-1</v>
          </cell>
          <cell r="B641">
            <v>42212</v>
          </cell>
          <cell r="C641" t="str">
            <v>2015</v>
          </cell>
          <cell r="D641" t="str">
            <v>Michael Oakman</v>
          </cell>
          <cell r="E641" t="str">
            <v>8 Rankins Lane ,Melbourne</v>
          </cell>
          <cell r="F641" t="str">
            <v>Melbourne</v>
          </cell>
          <cell r="G641" t="str">
            <v>VIC</v>
          </cell>
          <cell r="H641" t="str">
            <v>Small Business</v>
          </cell>
          <cell r="I641" t="str">
            <v>Connor Betts</v>
          </cell>
          <cell r="J641" t="str">
            <v>Low</v>
          </cell>
          <cell r="K641" t="str">
            <v>Binder Clips by OIC</v>
          </cell>
          <cell r="L641" t="str">
            <v>Office Supplies</v>
          </cell>
          <cell r="M641" t="str">
            <v>Wrap Bag</v>
          </cell>
          <cell r="N641" t="str">
            <v>Express Air</v>
          </cell>
          <cell r="O641">
            <v>42216</v>
          </cell>
          <cell r="P641">
            <v>0.93</v>
          </cell>
          <cell r="Q641">
            <v>1.48</v>
          </cell>
          <cell r="R641">
            <v>0.54999999999999993</v>
          </cell>
          <cell r="S641">
            <v>37</v>
          </cell>
          <cell r="T641">
            <v>54.76</v>
          </cell>
          <cell r="V641">
            <v>2.1903999999999999</v>
          </cell>
          <cell r="W641">
            <v>52.569600000000001</v>
          </cell>
          <cell r="X641">
            <v>0.7</v>
          </cell>
          <cell r="Y641">
            <v>53.269600000000004</v>
          </cell>
        </row>
        <row r="642">
          <cell r="A642" t="str">
            <v>5997-2</v>
          </cell>
          <cell r="B642">
            <v>42212</v>
          </cell>
          <cell r="C642" t="str">
            <v>2015</v>
          </cell>
          <cell r="D642" t="str">
            <v>Michael Oakman</v>
          </cell>
          <cell r="E642" t="str">
            <v>8 Rankins Lane ,Melbourne</v>
          </cell>
          <cell r="F642" t="str">
            <v>Melbourne</v>
          </cell>
          <cell r="G642" t="str">
            <v>VIC</v>
          </cell>
          <cell r="H642" t="str">
            <v>Small Business</v>
          </cell>
          <cell r="I642" t="str">
            <v>Connor Betts</v>
          </cell>
          <cell r="J642" t="str">
            <v>Low</v>
          </cell>
          <cell r="K642" t="str">
            <v>PastelOcean Color Pencil Set</v>
          </cell>
          <cell r="L642" t="str">
            <v>Office Supplies</v>
          </cell>
          <cell r="M642" t="str">
            <v>Wrap Bag</v>
          </cell>
          <cell r="N642" t="str">
            <v>Regular Air</v>
          </cell>
          <cell r="O642">
            <v>42217</v>
          </cell>
          <cell r="P642">
            <v>11.11</v>
          </cell>
          <cell r="Q642">
            <v>19.84</v>
          </cell>
          <cell r="R642">
            <v>8.73</v>
          </cell>
          <cell r="S642">
            <v>28</v>
          </cell>
          <cell r="T642">
            <v>555.52</v>
          </cell>
          <cell r="V642">
            <v>44.441600000000001</v>
          </cell>
          <cell r="W642">
            <v>511.07839999999999</v>
          </cell>
          <cell r="X642">
            <v>4.0999999999999996</v>
          </cell>
          <cell r="Y642">
            <v>515.17840000000001</v>
          </cell>
        </row>
        <row r="643">
          <cell r="A643" t="str">
            <v>6000-1</v>
          </cell>
          <cell r="B643">
            <v>42214</v>
          </cell>
          <cell r="C643" t="str">
            <v>2015</v>
          </cell>
          <cell r="D643" t="str">
            <v>Jack Lebron</v>
          </cell>
          <cell r="E643" t="str">
            <v>180 High Street,Windsor</v>
          </cell>
          <cell r="F643" t="str">
            <v>Melbourne</v>
          </cell>
          <cell r="G643" t="str">
            <v>VIC</v>
          </cell>
          <cell r="H643" t="str">
            <v>Corporate</v>
          </cell>
          <cell r="I643" t="str">
            <v>Connor Betts</v>
          </cell>
          <cell r="J643" t="str">
            <v>High</v>
          </cell>
          <cell r="K643" t="str">
            <v>Pizazz Drawing Pencil Set</v>
          </cell>
          <cell r="L643" t="str">
            <v>Office Supplies</v>
          </cell>
          <cell r="M643" t="str">
            <v>Wrap Bag</v>
          </cell>
          <cell r="N643" t="str">
            <v>Regular Air</v>
          </cell>
          <cell r="O643">
            <v>42216</v>
          </cell>
          <cell r="P643">
            <v>1.53</v>
          </cell>
          <cell r="Q643">
            <v>2.78</v>
          </cell>
          <cell r="R643">
            <v>1.2499999999999998</v>
          </cell>
          <cell r="S643">
            <v>38</v>
          </cell>
          <cell r="T643">
            <v>105.63999999999999</v>
          </cell>
          <cell r="V643">
            <v>10.564</v>
          </cell>
          <cell r="W643">
            <v>95.075999999999993</v>
          </cell>
          <cell r="X643">
            <v>1.34</v>
          </cell>
          <cell r="Y643">
            <v>96.415999999999997</v>
          </cell>
        </row>
        <row r="644">
          <cell r="A644" t="str">
            <v>6001-1</v>
          </cell>
          <cell r="B644">
            <v>42214</v>
          </cell>
          <cell r="C644" t="str">
            <v>2015</v>
          </cell>
          <cell r="D644" t="str">
            <v>Toby Grace</v>
          </cell>
          <cell r="E644" t="str">
            <v>324A King St,Newtown</v>
          </cell>
          <cell r="F644" t="str">
            <v>Sydney</v>
          </cell>
          <cell r="G644" t="str">
            <v>NSW</v>
          </cell>
          <cell r="H644" t="str">
            <v>Home Office</v>
          </cell>
          <cell r="I644" t="str">
            <v>Mihael Khan</v>
          </cell>
          <cell r="J644" t="str">
            <v>Not Specified</v>
          </cell>
          <cell r="K644" t="str">
            <v>TypeRight Side-Opening Peel &amp; Seel Expanding Envelopes</v>
          </cell>
          <cell r="L644" t="str">
            <v>Office Supplies</v>
          </cell>
          <cell r="M644" t="str">
            <v>Small Box</v>
          </cell>
          <cell r="N644" t="str">
            <v>Regular Air</v>
          </cell>
          <cell r="O644">
            <v>42215</v>
          </cell>
          <cell r="P644">
            <v>54.29</v>
          </cell>
          <cell r="Q644">
            <v>90.48</v>
          </cell>
          <cell r="R644">
            <v>36.190000000000005</v>
          </cell>
          <cell r="S644">
            <v>15</v>
          </cell>
          <cell r="T644">
            <v>1357.2</v>
          </cell>
          <cell r="V644">
            <v>13.572000000000001</v>
          </cell>
          <cell r="W644">
            <v>1343.6280000000002</v>
          </cell>
          <cell r="X644">
            <v>19.989999999999998</v>
          </cell>
          <cell r="Y644">
            <v>1363.6180000000002</v>
          </cell>
        </row>
        <row r="645">
          <cell r="A645" t="str">
            <v>6002-1</v>
          </cell>
          <cell r="B645">
            <v>42215</v>
          </cell>
          <cell r="C645" t="str">
            <v>2015</v>
          </cell>
          <cell r="D645" t="str">
            <v>Lycoris Saunders</v>
          </cell>
          <cell r="E645" t="str">
            <v>501 George St,Sydney</v>
          </cell>
          <cell r="F645" t="str">
            <v>Sydney</v>
          </cell>
          <cell r="G645" t="str">
            <v>NSW</v>
          </cell>
          <cell r="H645" t="str">
            <v>Home Office</v>
          </cell>
          <cell r="I645" t="str">
            <v>Samantha Chairs</v>
          </cell>
          <cell r="J645" t="str">
            <v>High</v>
          </cell>
          <cell r="K645" t="str">
            <v>Artisan 487 Labels</v>
          </cell>
          <cell r="L645" t="str">
            <v>Office Supplies</v>
          </cell>
          <cell r="M645" t="str">
            <v>Small Box</v>
          </cell>
          <cell r="N645" t="str">
            <v>Express Air</v>
          </cell>
          <cell r="O645">
            <v>42216</v>
          </cell>
          <cell r="P645">
            <v>2.29</v>
          </cell>
          <cell r="Q645">
            <v>3.69</v>
          </cell>
          <cell r="R645">
            <v>1.4</v>
          </cell>
          <cell r="S645">
            <v>48</v>
          </cell>
          <cell r="T645">
            <v>177.12</v>
          </cell>
          <cell r="V645">
            <v>17.712</v>
          </cell>
          <cell r="W645">
            <v>159.40800000000002</v>
          </cell>
          <cell r="X645">
            <v>0.5</v>
          </cell>
          <cell r="Y645">
            <v>159.90800000000002</v>
          </cell>
        </row>
        <row r="646">
          <cell r="A646" t="str">
            <v>6003-1</v>
          </cell>
          <cell r="B646">
            <v>42215</v>
          </cell>
          <cell r="C646" t="str">
            <v>2015</v>
          </cell>
          <cell r="D646" t="str">
            <v>Julie Prescott</v>
          </cell>
          <cell r="E646" t="str">
            <v>438 Victoria Avenue,Chatswood</v>
          </cell>
          <cell r="F646" t="str">
            <v>Sydney</v>
          </cell>
          <cell r="G646" t="str">
            <v>NSW</v>
          </cell>
          <cell r="H646" t="str">
            <v>Home Office</v>
          </cell>
          <cell r="I646" t="str">
            <v>Natasha Song</v>
          </cell>
          <cell r="J646" t="str">
            <v>Medium</v>
          </cell>
          <cell r="K646" t="str">
            <v>TechSavi Cordless Access Keyboard</v>
          </cell>
          <cell r="L646" t="str">
            <v>Technology</v>
          </cell>
          <cell r="M646" t="str">
            <v>Small Box</v>
          </cell>
          <cell r="N646" t="str">
            <v>Express Air</v>
          </cell>
          <cell r="O646">
            <v>42216</v>
          </cell>
          <cell r="P646">
            <v>14.7</v>
          </cell>
          <cell r="Q646">
            <v>29.99</v>
          </cell>
          <cell r="R646">
            <v>15.29</v>
          </cell>
          <cell r="S646">
            <v>27</v>
          </cell>
          <cell r="T646">
            <v>809.7299999999999</v>
          </cell>
          <cell r="V646">
            <v>40.486499999999999</v>
          </cell>
          <cell r="W646">
            <v>769.24349999999993</v>
          </cell>
          <cell r="X646">
            <v>5.5</v>
          </cell>
          <cell r="Y646">
            <v>774.74349999999993</v>
          </cell>
        </row>
        <row r="647">
          <cell r="A647" t="str">
            <v>6005-1</v>
          </cell>
          <cell r="B647">
            <v>42217</v>
          </cell>
          <cell r="C647" t="str">
            <v>2015</v>
          </cell>
          <cell r="D647" t="str">
            <v>Karl Brown</v>
          </cell>
          <cell r="E647" t="str">
            <v>470 Anzac Parade,Kingsford</v>
          </cell>
          <cell r="F647" t="str">
            <v>Sydney</v>
          </cell>
          <cell r="G647" t="str">
            <v>NSW</v>
          </cell>
          <cell r="H647" t="str">
            <v>Home Office</v>
          </cell>
          <cell r="I647" t="str">
            <v>Tina Carlton</v>
          </cell>
          <cell r="J647" t="str">
            <v>Critical</v>
          </cell>
          <cell r="K647" t="str">
            <v>TechSavi Cordless Navigator Duo</v>
          </cell>
          <cell r="L647" t="str">
            <v>Technology</v>
          </cell>
          <cell r="M647" t="str">
            <v>Small Box</v>
          </cell>
          <cell r="N647" t="str">
            <v>Regular Air</v>
          </cell>
          <cell r="O647">
            <v>42219</v>
          </cell>
          <cell r="P647">
            <v>42.11</v>
          </cell>
          <cell r="Q647">
            <v>80.98</v>
          </cell>
          <cell r="R647">
            <v>38.870000000000005</v>
          </cell>
          <cell r="S647">
            <v>22</v>
          </cell>
          <cell r="T647">
            <v>1781.5600000000002</v>
          </cell>
          <cell r="V647">
            <v>178.15600000000003</v>
          </cell>
          <cell r="W647">
            <v>1603.4040000000002</v>
          </cell>
          <cell r="X647">
            <v>7.18</v>
          </cell>
          <cell r="Y647">
            <v>1610.5840000000003</v>
          </cell>
        </row>
        <row r="648">
          <cell r="A648" t="str">
            <v>6006-1</v>
          </cell>
          <cell r="B648">
            <v>42218</v>
          </cell>
          <cell r="C648" t="str">
            <v>2015</v>
          </cell>
          <cell r="D648" t="str">
            <v>Nora Pelletier</v>
          </cell>
          <cell r="E648" t="str">
            <v>5/250 Old Northern Road,Castle Hill</v>
          </cell>
          <cell r="F648" t="str">
            <v>Sydney</v>
          </cell>
          <cell r="G648" t="str">
            <v>NSW</v>
          </cell>
          <cell r="H648" t="str">
            <v>Home Office</v>
          </cell>
          <cell r="I648" t="str">
            <v>Nicholas Fernandes</v>
          </cell>
          <cell r="J648" t="str">
            <v>Not Specified</v>
          </cell>
          <cell r="K648" t="str">
            <v>Cando PC940 Copier</v>
          </cell>
          <cell r="L648" t="str">
            <v>Technology</v>
          </cell>
          <cell r="M648" t="str">
            <v>Large Box</v>
          </cell>
          <cell r="N648" t="str">
            <v>Regular Air</v>
          </cell>
          <cell r="O648">
            <v>42220</v>
          </cell>
          <cell r="P648">
            <v>216</v>
          </cell>
          <cell r="Q648">
            <v>449.99</v>
          </cell>
          <cell r="R648">
            <v>233.99</v>
          </cell>
          <cell r="S648">
            <v>29</v>
          </cell>
          <cell r="T648">
            <v>13049.710000000001</v>
          </cell>
          <cell r="V648">
            <v>0</v>
          </cell>
          <cell r="W648">
            <v>13049.710000000001</v>
          </cell>
          <cell r="X648">
            <v>24.49</v>
          </cell>
          <cell r="Y648">
            <v>13074.2</v>
          </cell>
        </row>
        <row r="649">
          <cell r="A649" t="str">
            <v>6007-1</v>
          </cell>
          <cell r="B649">
            <v>42218</v>
          </cell>
          <cell r="C649" t="str">
            <v>2015</v>
          </cell>
          <cell r="D649" t="str">
            <v>Tracy Collins</v>
          </cell>
          <cell r="E649" t="str">
            <v>Crown Complex,Southbank</v>
          </cell>
          <cell r="F649" t="str">
            <v>Melbourne</v>
          </cell>
          <cell r="G649" t="str">
            <v>VIC</v>
          </cell>
          <cell r="H649" t="str">
            <v>Consumer</v>
          </cell>
          <cell r="I649" t="str">
            <v>Connor Betts</v>
          </cell>
          <cell r="J649" t="str">
            <v>Not Specified</v>
          </cell>
          <cell r="K649" t="str">
            <v>Xit Blank Computer Paper</v>
          </cell>
          <cell r="L649" t="str">
            <v>Office Supplies</v>
          </cell>
          <cell r="M649" t="str">
            <v>Small Box</v>
          </cell>
          <cell r="N649" t="str">
            <v>Regular Air</v>
          </cell>
          <cell r="O649">
            <v>42220</v>
          </cell>
          <cell r="P649">
            <v>12.39</v>
          </cell>
          <cell r="Q649">
            <v>19.98</v>
          </cell>
          <cell r="R649">
            <v>7.59</v>
          </cell>
          <cell r="S649">
            <v>44</v>
          </cell>
          <cell r="T649">
            <v>879.12</v>
          </cell>
          <cell r="V649">
            <v>61.538400000000003</v>
          </cell>
          <cell r="W649">
            <v>817.58159999999998</v>
          </cell>
          <cell r="X649">
            <v>5.77</v>
          </cell>
          <cell r="Y649">
            <v>823.35159999999996</v>
          </cell>
        </row>
        <row r="650">
          <cell r="A650" t="str">
            <v>6009-1</v>
          </cell>
          <cell r="B650">
            <v>42219</v>
          </cell>
          <cell r="C650" t="str">
            <v>2015</v>
          </cell>
          <cell r="D650" t="str">
            <v>Dave Hallsten</v>
          </cell>
          <cell r="E650" t="str">
            <v>1 John St,Waterloo</v>
          </cell>
          <cell r="F650" t="str">
            <v>Sydney</v>
          </cell>
          <cell r="G650" t="str">
            <v>NSW</v>
          </cell>
          <cell r="H650" t="str">
            <v>Corporate</v>
          </cell>
          <cell r="I650" t="str">
            <v>Charlie Bui</v>
          </cell>
          <cell r="J650" t="str">
            <v>Low</v>
          </cell>
          <cell r="K650" t="str">
            <v>Economy Binders</v>
          </cell>
          <cell r="L650" t="str">
            <v>Office Supplies</v>
          </cell>
          <cell r="M650" t="str">
            <v>Small Box</v>
          </cell>
          <cell r="N650" t="str">
            <v>Regular Air</v>
          </cell>
          <cell r="O650">
            <v>42224</v>
          </cell>
          <cell r="P650">
            <v>1.33</v>
          </cell>
          <cell r="Q650">
            <v>2.08</v>
          </cell>
          <cell r="R650">
            <v>0.75</v>
          </cell>
          <cell r="S650">
            <v>20</v>
          </cell>
          <cell r="T650">
            <v>41.6</v>
          </cell>
          <cell r="V650">
            <v>4.16</v>
          </cell>
          <cell r="W650">
            <v>37.44</v>
          </cell>
          <cell r="X650">
            <v>1.49</v>
          </cell>
          <cell r="Y650">
            <v>38.93</v>
          </cell>
        </row>
        <row r="651">
          <cell r="A651" t="str">
            <v>6011-1</v>
          </cell>
          <cell r="B651">
            <v>42223</v>
          </cell>
          <cell r="C651" t="str">
            <v>2015</v>
          </cell>
          <cell r="D651" t="str">
            <v>Astrea Jones</v>
          </cell>
          <cell r="E651" t="str">
            <v>3/265 Stirling Street, Perth</v>
          </cell>
          <cell r="F651" t="str">
            <v>Sydney</v>
          </cell>
          <cell r="G651" t="str">
            <v>NSW</v>
          </cell>
          <cell r="H651" t="str">
            <v>Corporate</v>
          </cell>
          <cell r="I651" t="str">
            <v>Leighton Forrest</v>
          </cell>
          <cell r="J651" t="str">
            <v>Critical</v>
          </cell>
          <cell r="K651" t="str">
            <v>Unpadded Memo Slips</v>
          </cell>
          <cell r="L651" t="str">
            <v>Office Supplies</v>
          </cell>
          <cell r="M651" t="str">
            <v>Wrap Bag</v>
          </cell>
          <cell r="N651" t="str">
            <v>Regular Air</v>
          </cell>
          <cell r="O651">
            <v>42224</v>
          </cell>
          <cell r="P651">
            <v>2.59</v>
          </cell>
          <cell r="Q651">
            <v>3.98</v>
          </cell>
          <cell r="R651">
            <v>1.3900000000000001</v>
          </cell>
          <cell r="S651">
            <v>16</v>
          </cell>
          <cell r="T651">
            <v>63.68</v>
          </cell>
          <cell r="V651">
            <v>5.7311999999999994</v>
          </cell>
          <cell r="W651">
            <v>57.948799999999999</v>
          </cell>
          <cell r="X651">
            <v>2.97</v>
          </cell>
          <cell r="Y651">
            <v>60.918799999999997</v>
          </cell>
        </row>
        <row r="652">
          <cell r="A652" t="str">
            <v>6012-1</v>
          </cell>
          <cell r="B652">
            <v>42224</v>
          </cell>
          <cell r="C652" t="str">
            <v>2015</v>
          </cell>
          <cell r="D652" t="str">
            <v>Tanja Norvell</v>
          </cell>
          <cell r="E652" t="str">
            <v>541 Church St,Richmond</v>
          </cell>
          <cell r="F652" t="str">
            <v>Melbourne</v>
          </cell>
          <cell r="G652" t="str">
            <v>VIC</v>
          </cell>
          <cell r="H652" t="str">
            <v>Corporate</v>
          </cell>
          <cell r="I652" t="str">
            <v>Yvette Biti</v>
          </cell>
          <cell r="J652" t="str">
            <v>High</v>
          </cell>
          <cell r="K652" t="str">
            <v>Artisan Printable Repositionable Plastic Tabs</v>
          </cell>
          <cell r="L652" t="str">
            <v>Office Supplies</v>
          </cell>
          <cell r="M652" t="str">
            <v>Small Box</v>
          </cell>
          <cell r="N652" t="str">
            <v>Express Air</v>
          </cell>
          <cell r="O652">
            <v>42225</v>
          </cell>
          <cell r="P652">
            <v>5.33</v>
          </cell>
          <cell r="Q652">
            <v>8.6</v>
          </cell>
          <cell r="R652">
            <v>3.2699999999999996</v>
          </cell>
          <cell r="S652">
            <v>15</v>
          </cell>
          <cell r="T652">
            <v>129</v>
          </cell>
          <cell r="V652">
            <v>5.16</v>
          </cell>
          <cell r="W652">
            <v>123.84</v>
          </cell>
          <cell r="X652">
            <v>6.19</v>
          </cell>
          <cell r="Y652">
            <v>130.03</v>
          </cell>
        </row>
        <row r="653">
          <cell r="A653" t="str">
            <v>6014-1</v>
          </cell>
          <cell r="B653">
            <v>42226</v>
          </cell>
          <cell r="C653" t="str">
            <v>2015</v>
          </cell>
          <cell r="D653" t="str">
            <v>Nora Price</v>
          </cell>
          <cell r="E653" t="str">
            <v>7 Khartoum Rd,Macquarie Park</v>
          </cell>
          <cell r="F653" t="str">
            <v>Sydney</v>
          </cell>
          <cell r="G653" t="str">
            <v>NSW</v>
          </cell>
          <cell r="H653" t="str">
            <v>Small Business</v>
          </cell>
          <cell r="I653" t="str">
            <v>Preston Senome</v>
          </cell>
          <cell r="J653" t="str">
            <v>Not Specified</v>
          </cell>
          <cell r="K653" t="str">
            <v>Alto 3-Hole Punch</v>
          </cell>
          <cell r="L653" t="str">
            <v>Office Supplies</v>
          </cell>
          <cell r="M653" t="str">
            <v>Small Box</v>
          </cell>
          <cell r="N653" t="str">
            <v>Regular Air</v>
          </cell>
          <cell r="O653">
            <v>42227</v>
          </cell>
          <cell r="P653">
            <v>2.76</v>
          </cell>
          <cell r="Q653">
            <v>4.38</v>
          </cell>
          <cell r="R653">
            <v>1.62</v>
          </cell>
          <cell r="S653">
            <v>24</v>
          </cell>
          <cell r="T653">
            <v>105.12</v>
          </cell>
          <cell r="V653">
            <v>2.1024000000000003</v>
          </cell>
          <cell r="W653">
            <v>103.0176</v>
          </cell>
          <cell r="X653">
            <v>6.21</v>
          </cell>
          <cell r="Y653">
            <v>109.2276</v>
          </cell>
        </row>
        <row r="654">
          <cell r="A654" t="str">
            <v>6014-2</v>
          </cell>
          <cell r="B654">
            <v>42226</v>
          </cell>
          <cell r="C654" t="str">
            <v>2015</v>
          </cell>
          <cell r="D654" t="str">
            <v>Nora Price</v>
          </cell>
          <cell r="E654" t="str">
            <v>7 Khartoum Rd,Macquarie Park</v>
          </cell>
          <cell r="F654" t="str">
            <v>Sydney</v>
          </cell>
          <cell r="G654" t="str">
            <v>NSW</v>
          </cell>
          <cell r="H654" t="str">
            <v>Small Business</v>
          </cell>
          <cell r="I654" t="str">
            <v>Preston Senome</v>
          </cell>
          <cell r="J654" t="str">
            <v>Not Specified</v>
          </cell>
          <cell r="K654" t="str">
            <v>Apex Forged Steel Scissors with Black Enamel Handles</v>
          </cell>
          <cell r="L654" t="str">
            <v>Office Supplies</v>
          </cell>
          <cell r="M654" t="str">
            <v>Small Pack</v>
          </cell>
          <cell r="N654" t="str">
            <v>Regular Air</v>
          </cell>
          <cell r="O654">
            <v>42229</v>
          </cell>
          <cell r="P654">
            <v>4.0999999999999996</v>
          </cell>
          <cell r="Q654">
            <v>9.31</v>
          </cell>
          <cell r="R654">
            <v>5.2100000000000009</v>
          </cell>
          <cell r="S654">
            <v>30</v>
          </cell>
          <cell r="T654">
            <v>279.3</v>
          </cell>
          <cell r="V654">
            <v>8.3789999999999996</v>
          </cell>
          <cell r="W654">
            <v>270.92099999999999</v>
          </cell>
          <cell r="X654">
            <v>3.98</v>
          </cell>
          <cell r="Y654">
            <v>274.90100000000001</v>
          </cell>
        </row>
        <row r="655">
          <cell r="A655" t="str">
            <v>6017-1</v>
          </cell>
          <cell r="B655">
            <v>42227</v>
          </cell>
          <cell r="C655" t="str">
            <v>2015</v>
          </cell>
          <cell r="D655" t="str">
            <v>Raymond Book</v>
          </cell>
          <cell r="E655" t="str">
            <v>Shop 1, 186-190 Church Street,Parramatta;46a Macleay Street,Potts Point</v>
          </cell>
          <cell r="F655" t="str">
            <v>Sydney</v>
          </cell>
          <cell r="G655" t="str">
            <v>NSW</v>
          </cell>
          <cell r="H655" t="str">
            <v>Consumer</v>
          </cell>
          <cell r="I655" t="str">
            <v>Mihael Khan</v>
          </cell>
          <cell r="J655" t="str">
            <v>High</v>
          </cell>
          <cell r="K655" t="str">
            <v>HFX LaserJet 3310 Copier</v>
          </cell>
          <cell r="L655" t="str">
            <v>Technology</v>
          </cell>
          <cell r="M655" t="str">
            <v>Large Box</v>
          </cell>
          <cell r="N655" t="str">
            <v>Regular Air</v>
          </cell>
          <cell r="O655">
            <v>42228</v>
          </cell>
          <cell r="P655">
            <v>377.99</v>
          </cell>
          <cell r="Q655">
            <v>599.99</v>
          </cell>
          <cell r="R655">
            <v>222</v>
          </cell>
          <cell r="S655">
            <v>46</v>
          </cell>
          <cell r="T655">
            <v>27599.54</v>
          </cell>
          <cell r="V655">
            <v>1931.9678000000004</v>
          </cell>
          <cell r="W655">
            <v>25667.572200000002</v>
          </cell>
          <cell r="X655">
            <v>24.49</v>
          </cell>
          <cell r="Y655">
            <v>25692.062200000004</v>
          </cell>
        </row>
        <row r="656">
          <cell r="A656" t="str">
            <v>6019-1</v>
          </cell>
          <cell r="B656">
            <v>42227</v>
          </cell>
          <cell r="C656" t="str">
            <v>2015</v>
          </cell>
          <cell r="D656" t="str">
            <v>Christine Sundaresam</v>
          </cell>
          <cell r="E656" t="str">
            <v>7 Khartoum Rd,Macquarie Park</v>
          </cell>
          <cell r="F656" t="str">
            <v>Sydney</v>
          </cell>
          <cell r="G656" t="str">
            <v>NSW</v>
          </cell>
          <cell r="H656" t="str">
            <v>Small Business</v>
          </cell>
          <cell r="I656" t="str">
            <v>Preston Senome</v>
          </cell>
          <cell r="J656" t="str">
            <v>High</v>
          </cell>
          <cell r="K656" t="str">
            <v>Pizazz Colored Pencils</v>
          </cell>
          <cell r="L656" t="str">
            <v>Office Supplies</v>
          </cell>
          <cell r="M656" t="str">
            <v>Wrap Bag</v>
          </cell>
          <cell r="N656" t="str">
            <v>Regular Air</v>
          </cell>
          <cell r="O656">
            <v>42230</v>
          </cell>
          <cell r="P656">
            <v>1.76</v>
          </cell>
          <cell r="Q656">
            <v>2.94</v>
          </cell>
          <cell r="R656">
            <v>1.18</v>
          </cell>
          <cell r="S656">
            <v>39</v>
          </cell>
          <cell r="T656">
            <v>114.66</v>
          </cell>
          <cell r="V656">
            <v>4.5864000000000003</v>
          </cell>
          <cell r="W656">
            <v>110.0736</v>
          </cell>
          <cell r="X656">
            <v>0.81</v>
          </cell>
          <cell r="Y656">
            <v>110.8836</v>
          </cell>
        </row>
        <row r="657">
          <cell r="A657" t="str">
            <v>6021-1</v>
          </cell>
          <cell r="B657">
            <v>42227</v>
          </cell>
          <cell r="C657" t="str">
            <v>2015</v>
          </cell>
          <cell r="D657" t="str">
            <v>Steve Carroll</v>
          </cell>
          <cell r="E657" t="str">
            <v>Macquarie Centre Cnr Herring Road &amp; Waterloo Road,Macquarie Park</v>
          </cell>
          <cell r="F657" t="str">
            <v>Sydney</v>
          </cell>
          <cell r="G657" t="str">
            <v>NSW</v>
          </cell>
          <cell r="H657" t="str">
            <v>Consumer</v>
          </cell>
          <cell r="I657" t="str">
            <v>Nicholas Fernandes</v>
          </cell>
          <cell r="J657" t="str">
            <v>High</v>
          </cell>
          <cell r="K657" t="str">
            <v>TechSavi Access Keyboard</v>
          </cell>
          <cell r="L657" t="str">
            <v>Technology</v>
          </cell>
          <cell r="M657" t="str">
            <v>Small Box</v>
          </cell>
          <cell r="N657" t="str">
            <v>Express Air</v>
          </cell>
          <cell r="O657">
            <v>42228</v>
          </cell>
          <cell r="P657">
            <v>10.07</v>
          </cell>
          <cell r="Q657">
            <v>15.98</v>
          </cell>
          <cell r="R657">
            <v>5.91</v>
          </cell>
          <cell r="S657">
            <v>7</v>
          </cell>
          <cell r="T657">
            <v>111.86</v>
          </cell>
          <cell r="V657">
            <v>4.4744000000000002</v>
          </cell>
          <cell r="W657">
            <v>107.3856</v>
          </cell>
          <cell r="X657">
            <v>4</v>
          </cell>
          <cell r="Y657">
            <v>111.3856</v>
          </cell>
        </row>
        <row r="658">
          <cell r="A658" t="str">
            <v>6023-1</v>
          </cell>
          <cell r="B658">
            <v>42228</v>
          </cell>
          <cell r="C658" t="str">
            <v>2015</v>
          </cell>
          <cell r="D658" t="str">
            <v>Grant Carroll</v>
          </cell>
          <cell r="E658" t="str">
            <v>10 O'Connell St,Sydney</v>
          </cell>
          <cell r="F658" t="str">
            <v>Sydney</v>
          </cell>
          <cell r="G658" t="str">
            <v>NSW</v>
          </cell>
          <cell r="H658" t="str">
            <v>Corporate</v>
          </cell>
          <cell r="I658" t="str">
            <v>Aanya Zhang</v>
          </cell>
          <cell r="J658" t="str">
            <v>Not Specified</v>
          </cell>
          <cell r="K658" t="str">
            <v>TechSavi Internet Navigator Keyboard</v>
          </cell>
          <cell r="L658" t="str">
            <v>Technology</v>
          </cell>
          <cell r="M658" t="str">
            <v>Small Box</v>
          </cell>
          <cell r="N658" t="str">
            <v>Regular Air</v>
          </cell>
          <cell r="O658">
            <v>42231</v>
          </cell>
          <cell r="P658">
            <v>6.51</v>
          </cell>
          <cell r="Q658">
            <v>30.98</v>
          </cell>
          <cell r="R658">
            <v>24.47</v>
          </cell>
          <cell r="S658">
            <v>8</v>
          </cell>
          <cell r="T658">
            <v>247.84</v>
          </cell>
          <cell r="V658">
            <v>14.8704</v>
          </cell>
          <cell r="W658">
            <v>232.96960000000001</v>
          </cell>
          <cell r="X658">
            <v>6.5</v>
          </cell>
          <cell r="Y658">
            <v>239.46960000000001</v>
          </cell>
        </row>
        <row r="659">
          <cell r="A659" t="str">
            <v>6025-1</v>
          </cell>
          <cell r="B659">
            <v>42230</v>
          </cell>
          <cell r="C659" t="str">
            <v>2015</v>
          </cell>
          <cell r="D659" t="str">
            <v>Nona Balk</v>
          </cell>
          <cell r="E659" t="str">
            <v>120 Hardware St,Melbourne</v>
          </cell>
          <cell r="F659" t="str">
            <v>Melbourne</v>
          </cell>
          <cell r="G659" t="str">
            <v>VIC</v>
          </cell>
          <cell r="H659" t="str">
            <v>Corporate</v>
          </cell>
          <cell r="I659" t="str">
            <v>Connor Betts</v>
          </cell>
          <cell r="J659" t="str">
            <v>Medium</v>
          </cell>
          <cell r="K659" t="str">
            <v>Steady Major Accent Highlighters</v>
          </cell>
          <cell r="L659" t="str">
            <v>Office Supplies</v>
          </cell>
          <cell r="M659" t="str">
            <v>Wrap Bag</v>
          </cell>
          <cell r="N659" t="str">
            <v>Regular Air</v>
          </cell>
          <cell r="O659">
            <v>42232</v>
          </cell>
          <cell r="P659">
            <v>3.75</v>
          </cell>
          <cell r="Q659">
            <v>7.08</v>
          </cell>
          <cell r="R659">
            <v>3.33</v>
          </cell>
          <cell r="S659">
            <v>48</v>
          </cell>
          <cell r="T659">
            <v>339.84000000000003</v>
          </cell>
          <cell r="V659">
            <v>10.1952</v>
          </cell>
          <cell r="W659">
            <v>329.64480000000003</v>
          </cell>
          <cell r="X659">
            <v>2.35</v>
          </cell>
          <cell r="Y659">
            <v>331.99480000000005</v>
          </cell>
        </row>
        <row r="660">
          <cell r="A660" t="str">
            <v>6027-1</v>
          </cell>
          <cell r="B660">
            <v>42231</v>
          </cell>
          <cell r="C660" t="str">
            <v>2015</v>
          </cell>
          <cell r="D660" t="str">
            <v>Jim Kriz</v>
          </cell>
          <cell r="E660" t="str">
            <v>85-113 Dunning Ave,Roseberry</v>
          </cell>
          <cell r="F660" t="str">
            <v>Sydney</v>
          </cell>
          <cell r="G660" t="str">
            <v>NSW</v>
          </cell>
          <cell r="H660" t="str">
            <v>Consumer</v>
          </cell>
          <cell r="I660" t="str">
            <v>Mihael Khan</v>
          </cell>
          <cell r="J660" t="str">
            <v>High</v>
          </cell>
          <cell r="K660" t="str">
            <v>Binder Posts</v>
          </cell>
          <cell r="L660" t="str">
            <v>Office Supplies</v>
          </cell>
          <cell r="M660" t="str">
            <v>Small Box</v>
          </cell>
          <cell r="N660" t="str">
            <v>Express Air</v>
          </cell>
          <cell r="O660">
            <v>42233</v>
          </cell>
          <cell r="P660">
            <v>3.5</v>
          </cell>
          <cell r="Q660">
            <v>5.74</v>
          </cell>
          <cell r="R660">
            <v>2.2400000000000002</v>
          </cell>
          <cell r="S660">
            <v>32</v>
          </cell>
          <cell r="T660">
            <v>183.68</v>
          </cell>
          <cell r="V660">
            <v>14.694400000000002</v>
          </cell>
          <cell r="W660">
            <v>168.98560000000001</v>
          </cell>
          <cell r="X660">
            <v>5.01</v>
          </cell>
          <cell r="Y660">
            <v>173.9956</v>
          </cell>
        </row>
        <row r="661">
          <cell r="A661" t="str">
            <v>6029-1</v>
          </cell>
          <cell r="B661">
            <v>42237</v>
          </cell>
          <cell r="C661" t="str">
            <v>2015</v>
          </cell>
          <cell r="D661" t="str">
            <v>Nora Pelletier</v>
          </cell>
          <cell r="E661" t="str">
            <v>5/250 Old Northern Road,Castle Hill</v>
          </cell>
          <cell r="F661" t="str">
            <v>Sydney</v>
          </cell>
          <cell r="G661" t="str">
            <v>NSW</v>
          </cell>
          <cell r="H661" t="str">
            <v>Home Office</v>
          </cell>
          <cell r="I661" t="str">
            <v>Nicholas Fernandes</v>
          </cell>
          <cell r="J661" t="str">
            <v>Not Specified</v>
          </cell>
          <cell r="K661" t="str">
            <v>Self-Adhesive Ring Binder Labels</v>
          </cell>
          <cell r="L661" t="str">
            <v>Office Supplies</v>
          </cell>
          <cell r="M661" t="str">
            <v>Small Box</v>
          </cell>
          <cell r="N661" t="str">
            <v>Regular Air</v>
          </cell>
          <cell r="O661">
            <v>42239</v>
          </cell>
          <cell r="P661">
            <v>2.1800000000000002</v>
          </cell>
          <cell r="Q661">
            <v>3.52</v>
          </cell>
          <cell r="R661">
            <v>1.3399999999999999</v>
          </cell>
          <cell r="S661">
            <v>38</v>
          </cell>
          <cell r="T661">
            <v>133.76</v>
          </cell>
          <cell r="V661">
            <v>12.038399999999999</v>
          </cell>
          <cell r="W661">
            <v>121.7216</v>
          </cell>
          <cell r="X661">
            <v>6.83</v>
          </cell>
          <cell r="Y661">
            <v>128.55160000000001</v>
          </cell>
        </row>
        <row r="662">
          <cell r="A662" t="str">
            <v>6030-1</v>
          </cell>
          <cell r="B662">
            <v>42238</v>
          </cell>
          <cell r="C662" t="str">
            <v>2015</v>
          </cell>
          <cell r="D662" t="str">
            <v>Bryan Spruell</v>
          </cell>
          <cell r="E662" t="str">
            <v>1 John Street,Waterloo</v>
          </cell>
          <cell r="F662" t="str">
            <v>Sydney</v>
          </cell>
          <cell r="G662" t="str">
            <v>NSW</v>
          </cell>
          <cell r="H662" t="str">
            <v>Home Office</v>
          </cell>
          <cell r="I662" t="str">
            <v>Charlie Bui</v>
          </cell>
          <cell r="J662" t="str">
            <v>Low</v>
          </cell>
          <cell r="K662" t="str">
            <v>TechSavi Access Keyboard</v>
          </cell>
          <cell r="L662" t="str">
            <v>Technology</v>
          </cell>
          <cell r="M662" t="str">
            <v>Small Box</v>
          </cell>
          <cell r="N662" t="str">
            <v>Regular Air</v>
          </cell>
          <cell r="O662">
            <v>42243</v>
          </cell>
          <cell r="P662">
            <v>10.07</v>
          </cell>
          <cell r="Q662">
            <v>15.98</v>
          </cell>
          <cell r="R662">
            <v>5.91</v>
          </cell>
          <cell r="S662">
            <v>6</v>
          </cell>
          <cell r="T662">
            <v>95.88</v>
          </cell>
          <cell r="V662">
            <v>9.5879999999999992</v>
          </cell>
          <cell r="W662">
            <v>86.292000000000002</v>
          </cell>
          <cell r="X662">
            <v>4</v>
          </cell>
          <cell r="Y662">
            <v>90.292000000000002</v>
          </cell>
        </row>
        <row r="663">
          <cell r="A663" t="str">
            <v>6032-1</v>
          </cell>
          <cell r="B663">
            <v>42239</v>
          </cell>
          <cell r="C663" t="str">
            <v>2015</v>
          </cell>
          <cell r="D663" t="str">
            <v>Fred McMath</v>
          </cell>
          <cell r="E663" t="str">
            <v>10 Bligh St,Melbourne</v>
          </cell>
          <cell r="F663" t="str">
            <v>Melbourne</v>
          </cell>
          <cell r="G663" t="str">
            <v>VIC</v>
          </cell>
          <cell r="H663" t="str">
            <v>Small Business</v>
          </cell>
          <cell r="I663" t="str">
            <v>Yvette Biti</v>
          </cell>
          <cell r="J663" t="str">
            <v>Low</v>
          </cell>
          <cell r="K663" t="str">
            <v>Alto Six-Outlet Power Strip, 4 Cord Length</v>
          </cell>
          <cell r="L663" t="str">
            <v>Office Supplies</v>
          </cell>
          <cell r="M663" t="str">
            <v>Small Box</v>
          </cell>
          <cell r="N663" t="str">
            <v>Express Air</v>
          </cell>
          <cell r="O663">
            <v>42246</v>
          </cell>
          <cell r="P663">
            <v>3.53</v>
          </cell>
          <cell r="Q663">
            <v>8.6199999999999992</v>
          </cell>
          <cell r="R663">
            <v>5.09</v>
          </cell>
          <cell r="S663">
            <v>8</v>
          </cell>
          <cell r="T663">
            <v>68.959999999999994</v>
          </cell>
          <cell r="V663">
            <v>0</v>
          </cell>
          <cell r="W663">
            <v>68.959999999999994</v>
          </cell>
          <cell r="X663">
            <v>4.5</v>
          </cell>
          <cell r="Y663">
            <v>73.459999999999994</v>
          </cell>
        </row>
        <row r="664">
          <cell r="A664" t="str">
            <v>6034-1</v>
          </cell>
          <cell r="B664">
            <v>42240</v>
          </cell>
          <cell r="C664" t="str">
            <v>2015</v>
          </cell>
          <cell r="D664" t="str">
            <v>Alejandro Ballentine</v>
          </cell>
          <cell r="E664" t="str">
            <v>412 Brunswick St,Fitzroy</v>
          </cell>
          <cell r="F664" t="str">
            <v>Melbourne</v>
          </cell>
          <cell r="G664" t="str">
            <v>VIC</v>
          </cell>
          <cell r="H664" t="str">
            <v>Small Business</v>
          </cell>
          <cell r="I664" t="str">
            <v>Connor Betts</v>
          </cell>
          <cell r="J664" t="str">
            <v>High</v>
          </cell>
          <cell r="K664" t="str">
            <v>24 Capacity Maxi Data Binder Racks, Pearl</v>
          </cell>
          <cell r="L664" t="str">
            <v>Office Supplies</v>
          </cell>
          <cell r="M664" t="str">
            <v>Small Box</v>
          </cell>
          <cell r="N664" t="str">
            <v>Express Air</v>
          </cell>
          <cell r="O664">
            <v>42241</v>
          </cell>
          <cell r="P664">
            <v>84.22</v>
          </cell>
          <cell r="Q664">
            <v>210.55</v>
          </cell>
          <cell r="R664">
            <v>126.33000000000001</v>
          </cell>
          <cell r="S664">
            <v>2</v>
          </cell>
          <cell r="T664">
            <v>421.1</v>
          </cell>
          <cell r="V664">
            <v>21.055000000000003</v>
          </cell>
          <cell r="W664">
            <v>400.04500000000002</v>
          </cell>
          <cell r="X664">
            <v>9.99</v>
          </cell>
          <cell r="Y664">
            <v>410.03500000000003</v>
          </cell>
        </row>
        <row r="665">
          <cell r="A665" t="str">
            <v>6036-1</v>
          </cell>
          <cell r="B665">
            <v>42240</v>
          </cell>
          <cell r="C665" t="str">
            <v>2015</v>
          </cell>
          <cell r="D665" t="str">
            <v>Eleni McCrary</v>
          </cell>
          <cell r="E665" t="str">
            <v>79 Elliott St,Balmain</v>
          </cell>
          <cell r="F665" t="str">
            <v>Sydney</v>
          </cell>
          <cell r="G665" t="str">
            <v>NSW</v>
          </cell>
          <cell r="H665" t="str">
            <v>Corporate</v>
          </cell>
          <cell r="I665" t="str">
            <v>Aanya Zhang</v>
          </cell>
          <cell r="J665" t="str">
            <v>Low</v>
          </cell>
          <cell r="K665" t="str">
            <v>Creator Anti Dust Chalk, 12/Pack</v>
          </cell>
          <cell r="L665" t="str">
            <v>Office Supplies</v>
          </cell>
          <cell r="M665" t="str">
            <v>Wrap Bag</v>
          </cell>
          <cell r="N665" t="str">
            <v>Regular Air</v>
          </cell>
          <cell r="O665">
            <v>42244</v>
          </cell>
          <cell r="P665">
            <v>1.0900000000000001</v>
          </cell>
          <cell r="Q665">
            <v>1.82</v>
          </cell>
          <cell r="R665">
            <v>0.73</v>
          </cell>
          <cell r="S665">
            <v>42</v>
          </cell>
          <cell r="T665">
            <v>76.44</v>
          </cell>
          <cell r="V665">
            <v>6.1151999999999997</v>
          </cell>
          <cell r="W665">
            <v>70.324799999999996</v>
          </cell>
          <cell r="X665">
            <v>1</v>
          </cell>
          <cell r="Y665">
            <v>71.324799999999996</v>
          </cell>
        </row>
        <row r="666">
          <cell r="A666" t="str">
            <v>6037-1</v>
          </cell>
          <cell r="B666">
            <v>42240</v>
          </cell>
          <cell r="C666" t="str">
            <v>2015</v>
          </cell>
          <cell r="D666" t="str">
            <v>Dan Campbell</v>
          </cell>
          <cell r="E666" t="str">
            <v>1/173-179 Bronte Rd,Waverley</v>
          </cell>
          <cell r="F666" t="str">
            <v>Sydney</v>
          </cell>
          <cell r="G666" t="str">
            <v>NSW</v>
          </cell>
          <cell r="H666" t="str">
            <v>Small Business</v>
          </cell>
          <cell r="I666" t="str">
            <v>Leighton Forrest</v>
          </cell>
          <cell r="J666" t="str">
            <v>Critical</v>
          </cell>
          <cell r="K666" t="str">
            <v>Steady 52201 APSCO Electric Pencil Sharpener</v>
          </cell>
          <cell r="L666" t="str">
            <v>Office Supplies</v>
          </cell>
          <cell r="M666" t="str">
            <v>Small Pack</v>
          </cell>
          <cell r="N666" t="str">
            <v>Regular Air</v>
          </cell>
          <cell r="O666">
            <v>42242</v>
          </cell>
          <cell r="P666">
            <v>16.8</v>
          </cell>
          <cell r="Q666">
            <v>40.97</v>
          </cell>
          <cell r="R666">
            <v>24.169999999999998</v>
          </cell>
          <cell r="S666">
            <v>28</v>
          </cell>
          <cell r="T666">
            <v>1147.1599999999999</v>
          </cell>
          <cell r="V666">
            <v>45.886399999999995</v>
          </cell>
          <cell r="W666">
            <v>1101.2735999999998</v>
          </cell>
          <cell r="X666">
            <v>8.99</v>
          </cell>
          <cell r="Y666">
            <v>1110.2635999999998</v>
          </cell>
        </row>
        <row r="667">
          <cell r="A667" t="str">
            <v>6038-1</v>
          </cell>
          <cell r="B667">
            <v>42242</v>
          </cell>
          <cell r="C667" t="str">
            <v>2015</v>
          </cell>
          <cell r="D667" t="str">
            <v>Kelly Williams</v>
          </cell>
          <cell r="E667" t="str">
            <v>499-501 Lygon Street,Carlton North</v>
          </cell>
          <cell r="F667" t="str">
            <v>Melbourne</v>
          </cell>
          <cell r="G667" t="str">
            <v>VIC</v>
          </cell>
          <cell r="H667" t="str">
            <v>Corporate</v>
          </cell>
          <cell r="I667" t="str">
            <v>Yvette Biti</v>
          </cell>
          <cell r="J667" t="str">
            <v>Medium</v>
          </cell>
          <cell r="K667" t="str">
            <v>Airmail Envelopes</v>
          </cell>
          <cell r="L667" t="str">
            <v>Office Supplies</v>
          </cell>
          <cell r="M667" t="str">
            <v>Small Box</v>
          </cell>
          <cell r="N667" t="str">
            <v>Regular Air</v>
          </cell>
          <cell r="O667">
            <v>42244</v>
          </cell>
          <cell r="P667">
            <v>52.04</v>
          </cell>
          <cell r="Q667">
            <v>83.93</v>
          </cell>
          <cell r="R667">
            <v>31.890000000000008</v>
          </cell>
          <cell r="S667">
            <v>3</v>
          </cell>
          <cell r="T667">
            <v>251.79000000000002</v>
          </cell>
          <cell r="V667">
            <v>0</v>
          </cell>
          <cell r="W667">
            <v>251.79000000000002</v>
          </cell>
          <cell r="X667">
            <v>19.989999999999998</v>
          </cell>
          <cell r="Y667">
            <v>271.78000000000003</v>
          </cell>
        </row>
        <row r="668">
          <cell r="A668" t="str">
            <v>6039-1</v>
          </cell>
          <cell r="B668">
            <v>42242</v>
          </cell>
          <cell r="C668" t="str">
            <v>2015</v>
          </cell>
          <cell r="D668" t="str">
            <v>Edward Becker</v>
          </cell>
          <cell r="E668" t="str">
            <v>501 George St,Sydney</v>
          </cell>
          <cell r="F668" t="str">
            <v>Sydney</v>
          </cell>
          <cell r="G668" t="str">
            <v>NSW</v>
          </cell>
          <cell r="H668" t="str">
            <v>Corporate</v>
          </cell>
          <cell r="I668" t="str">
            <v>Samantha Chairs</v>
          </cell>
          <cell r="J668" t="str">
            <v>Not Specified</v>
          </cell>
          <cell r="K668" t="str">
            <v>Artisan 487 Labels</v>
          </cell>
          <cell r="L668" t="str">
            <v>Office Supplies</v>
          </cell>
          <cell r="M668" t="str">
            <v>Small Box</v>
          </cell>
          <cell r="N668" t="str">
            <v>Regular Air</v>
          </cell>
          <cell r="O668">
            <v>42243</v>
          </cell>
          <cell r="P668">
            <v>2.29</v>
          </cell>
          <cell r="Q668">
            <v>3.69</v>
          </cell>
          <cell r="R668">
            <v>1.4</v>
          </cell>
          <cell r="S668">
            <v>39</v>
          </cell>
          <cell r="T668">
            <v>143.91</v>
          </cell>
          <cell r="V668">
            <v>4.3172999999999995</v>
          </cell>
          <cell r="W668">
            <v>139.59270000000001</v>
          </cell>
          <cell r="X668">
            <v>0.5</v>
          </cell>
          <cell r="Y668">
            <v>140.09270000000001</v>
          </cell>
        </row>
        <row r="669">
          <cell r="A669" t="str">
            <v>6042-1</v>
          </cell>
          <cell r="B669">
            <v>42244</v>
          </cell>
          <cell r="C669" t="str">
            <v>2015</v>
          </cell>
          <cell r="D669" t="str">
            <v>Phillip Flathmann</v>
          </cell>
          <cell r="E669" t="str">
            <v>Macquarie Centre Cnr Herring Road &amp; Waterloo Road,Macquarie Park</v>
          </cell>
          <cell r="F669" t="str">
            <v>Sydney</v>
          </cell>
          <cell r="G669" t="str">
            <v>NSW</v>
          </cell>
          <cell r="H669" t="str">
            <v>Small Business</v>
          </cell>
          <cell r="I669" t="str">
            <v>Nicholas Fernandes</v>
          </cell>
          <cell r="J669" t="str">
            <v>Critical</v>
          </cell>
          <cell r="K669" t="str">
            <v>Artisan 481 Labels</v>
          </cell>
          <cell r="L669" t="str">
            <v>Office Supplies</v>
          </cell>
          <cell r="M669" t="str">
            <v>Small Box</v>
          </cell>
          <cell r="N669" t="str">
            <v>Regular Air</v>
          </cell>
          <cell r="O669">
            <v>42246</v>
          </cell>
          <cell r="P669">
            <v>1.94</v>
          </cell>
          <cell r="Q669">
            <v>3.08</v>
          </cell>
          <cell r="R669">
            <v>1.1400000000000001</v>
          </cell>
          <cell r="S669">
            <v>6</v>
          </cell>
          <cell r="T669">
            <v>18.48</v>
          </cell>
          <cell r="V669">
            <v>0.36960000000000004</v>
          </cell>
          <cell r="W669">
            <v>18.110400000000002</v>
          </cell>
          <cell r="X669">
            <v>0.99</v>
          </cell>
          <cell r="Y669">
            <v>19.1004</v>
          </cell>
        </row>
        <row r="670">
          <cell r="A670" t="str">
            <v>6044-1</v>
          </cell>
          <cell r="B670">
            <v>42246</v>
          </cell>
          <cell r="C670" t="str">
            <v>2015</v>
          </cell>
          <cell r="D670" t="str">
            <v>Maxwell Schwartz</v>
          </cell>
          <cell r="E670" t="str">
            <v>3 Orwell St,Potts Point</v>
          </cell>
          <cell r="F670" t="str">
            <v>Sydney</v>
          </cell>
          <cell r="G670" t="str">
            <v>NSW</v>
          </cell>
          <cell r="H670" t="str">
            <v>Corporate</v>
          </cell>
          <cell r="I670" t="str">
            <v>Leighton Forrest</v>
          </cell>
          <cell r="J670" t="str">
            <v>Medium</v>
          </cell>
          <cell r="K670" t="str">
            <v>600 Series Flip</v>
          </cell>
          <cell r="L670" t="str">
            <v>Technology</v>
          </cell>
          <cell r="M670" t="str">
            <v>Small Box</v>
          </cell>
          <cell r="N670" t="str">
            <v>Regular Air</v>
          </cell>
          <cell r="O670">
            <v>42248</v>
          </cell>
          <cell r="P670">
            <v>41.28</v>
          </cell>
          <cell r="Q670">
            <v>95.99</v>
          </cell>
          <cell r="R670">
            <v>54.709999999999994</v>
          </cell>
          <cell r="S670">
            <v>26</v>
          </cell>
          <cell r="T670">
            <v>2495.7399999999998</v>
          </cell>
          <cell r="V670">
            <v>49.9148</v>
          </cell>
          <cell r="W670">
            <v>2445.8251999999998</v>
          </cell>
          <cell r="X670">
            <v>8.99</v>
          </cell>
          <cell r="Y670">
            <v>2454.8151999999995</v>
          </cell>
        </row>
        <row r="671">
          <cell r="A671" t="str">
            <v>6046-1</v>
          </cell>
          <cell r="B671">
            <v>42247</v>
          </cell>
          <cell r="C671" t="str">
            <v>2015</v>
          </cell>
          <cell r="D671" t="str">
            <v>Sally Knutson</v>
          </cell>
          <cell r="E671" t="str">
            <v>32/82 King Street</v>
          </cell>
          <cell r="F671" t="str">
            <v>Perth</v>
          </cell>
          <cell r="G671" t="str">
            <v>WA</v>
          </cell>
          <cell r="H671" t="str">
            <v>Consumer</v>
          </cell>
          <cell r="I671" t="str">
            <v>Mihael Khan</v>
          </cell>
          <cell r="J671" t="str">
            <v>Low</v>
          </cell>
          <cell r="K671" t="str">
            <v>3Max Organizer Strips</v>
          </cell>
          <cell r="L671" t="str">
            <v>Office Supplies</v>
          </cell>
          <cell r="M671" t="str">
            <v>Small Box</v>
          </cell>
          <cell r="N671" t="str">
            <v>Regular Air</v>
          </cell>
          <cell r="O671">
            <v>42247</v>
          </cell>
          <cell r="P671">
            <v>3.4</v>
          </cell>
          <cell r="Q671">
            <v>5.4</v>
          </cell>
          <cell r="R671">
            <v>2.0000000000000004</v>
          </cell>
          <cell r="S671">
            <v>14</v>
          </cell>
          <cell r="T671">
            <v>75.600000000000009</v>
          </cell>
          <cell r="V671">
            <v>1.5120000000000002</v>
          </cell>
          <cell r="W671">
            <v>74.088000000000008</v>
          </cell>
          <cell r="X671">
            <v>7.78</v>
          </cell>
          <cell r="Y671">
            <v>81.868000000000009</v>
          </cell>
        </row>
        <row r="672">
          <cell r="A672" t="str">
            <v>6048-1</v>
          </cell>
          <cell r="B672">
            <v>42247</v>
          </cell>
          <cell r="C672" t="str">
            <v>2015</v>
          </cell>
          <cell r="D672" t="str">
            <v>Larry Hughes</v>
          </cell>
          <cell r="E672" t="str">
            <v>541 Church St,Richmond</v>
          </cell>
          <cell r="F672" t="str">
            <v>Melbourne</v>
          </cell>
          <cell r="G672" t="str">
            <v>VIC</v>
          </cell>
          <cell r="H672" t="str">
            <v>Home Office</v>
          </cell>
          <cell r="I672" t="str">
            <v>Yvette Biti</v>
          </cell>
          <cell r="J672" t="str">
            <v>Critical</v>
          </cell>
          <cell r="K672" t="str">
            <v>Beekin 6 Outlet Metallic Surge Strip</v>
          </cell>
          <cell r="L672" t="str">
            <v>Office Supplies</v>
          </cell>
          <cell r="M672" t="str">
            <v>Small Box</v>
          </cell>
          <cell r="N672" t="str">
            <v>Regular Air</v>
          </cell>
          <cell r="O672">
            <v>42248</v>
          </cell>
          <cell r="P672">
            <v>4.46</v>
          </cell>
          <cell r="Q672">
            <v>10.89</v>
          </cell>
          <cell r="R672">
            <v>6.4300000000000006</v>
          </cell>
          <cell r="S672">
            <v>50</v>
          </cell>
          <cell r="T672">
            <v>544.5</v>
          </cell>
          <cell r="V672">
            <v>49.004999999999995</v>
          </cell>
          <cell r="W672">
            <v>495.495</v>
          </cell>
          <cell r="X672">
            <v>4.5</v>
          </cell>
          <cell r="Y672">
            <v>499.995</v>
          </cell>
        </row>
        <row r="673">
          <cell r="A673" t="str">
            <v>6050-1</v>
          </cell>
          <cell r="B673">
            <v>42249</v>
          </cell>
          <cell r="C673" t="str">
            <v>2015</v>
          </cell>
          <cell r="D673" t="str">
            <v>Giulietta Baptist</v>
          </cell>
          <cell r="E673" t="str">
            <v>Hoyts Entertainment Quarter 122 Lang Road,Moore Park</v>
          </cell>
          <cell r="F673" t="str">
            <v>Sydney</v>
          </cell>
          <cell r="G673" t="str">
            <v>NSW</v>
          </cell>
          <cell r="H673" t="str">
            <v>Home Office</v>
          </cell>
          <cell r="I673" t="str">
            <v>Tina Carlton</v>
          </cell>
          <cell r="J673" t="str">
            <v>Medium</v>
          </cell>
          <cell r="K673" t="str">
            <v>TechSavi Cordless Elite Duo</v>
          </cell>
          <cell r="L673" t="str">
            <v>Technology</v>
          </cell>
          <cell r="M673" t="str">
            <v>Small Box</v>
          </cell>
          <cell r="N673" t="str">
            <v>Regular Air</v>
          </cell>
          <cell r="O673">
            <v>42252</v>
          </cell>
          <cell r="P673">
            <v>60.59</v>
          </cell>
          <cell r="Q673">
            <v>100.98</v>
          </cell>
          <cell r="R673">
            <v>40.39</v>
          </cell>
          <cell r="S673">
            <v>9</v>
          </cell>
          <cell r="T673">
            <v>908.82</v>
          </cell>
          <cell r="V673">
            <v>90.882000000000005</v>
          </cell>
          <cell r="W673">
            <v>817.9380000000001</v>
          </cell>
          <cell r="X673">
            <v>7.18</v>
          </cell>
          <cell r="Y673">
            <v>825.11800000000005</v>
          </cell>
        </row>
        <row r="674">
          <cell r="A674" t="str">
            <v>6052-1</v>
          </cell>
          <cell r="B674">
            <v>42249</v>
          </cell>
          <cell r="C674" t="str">
            <v>2015</v>
          </cell>
          <cell r="D674" t="str">
            <v>Cindy Stewart</v>
          </cell>
          <cell r="E674" t="str">
            <v>1/173-179 Bronte Rd,Waverley</v>
          </cell>
          <cell r="F674" t="str">
            <v>Sydney</v>
          </cell>
          <cell r="G674" t="str">
            <v>NSW</v>
          </cell>
          <cell r="H674" t="str">
            <v>Corporate</v>
          </cell>
          <cell r="I674" t="str">
            <v>Leighton Forrest</v>
          </cell>
          <cell r="J674" t="str">
            <v>Medium</v>
          </cell>
          <cell r="K674" t="str">
            <v>UGen Ultra Professional Cordless Optical Suite</v>
          </cell>
          <cell r="L674" t="str">
            <v>Technology</v>
          </cell>
          <cell r="M674" t="str">
            <v>Small Box</v>
          </cell>
          <cell r="N674" t="str">
            <v>Regular Air</v>
          </cell>
          <cell r="O674">
            <v>42251</v>
          </cell>
          <cell r="P674">
            <v>156.5</v>
          </cell>
          <cell r="Q674">
            <v>300.97000000000003</v>
          </cell>
          <cell r="R674">
            <v>144.47000000000003</v>
          </cell>
          <cell r="S674">
            <v>20</v>
          </cell>
          <cell r="T674">
            <v>6019.4000000000005</v>
          </cell>
          <cell r="V674">
            <v>300.97000000000003</v>
          </cell>
          <cell r="W674">
            <v>5718.43</v>
          </cell>
          <cell r="X674">
            <v>7.18</v>
          </cell>
          <cell r="Y674">
            <v>5725.6100000000006</v>
          </cell>
        </row>
        <row r="675">
          <cell r="A675" t="str">
            <v>6054-1</v>
          </cell>
          <cell r="B675">
            <v>42250</v>
          </cell>
          <cell r="C675" t="str">
            <v>2015</v>
          </cell>
          <cell r="D675" t="str">
            <v>Grant Thornton</v>
          </cell>
          <cell r="E675" t="str">
            <v>98 Holdsworth Street,Woollahra</v>
          </cell>
          <cell r="F675" t="str">
            <v>Sydney</v>
          </cell>
          <cell r="G675" t="str">
            <v>NSW</v>
          </cell>
          <cell r="H675" t="str">
            <v>Corporate</v>
          </cell>
          <cell r="I675" t="str">
            <v>Natasha Song</v>
          </cell>
          <cell r="J675" t="str">
            <v>Low</v>
          </cell>
          <cell r="K675" t="str">
            <v>Beekin 6 Outlet Metallic Surge Strip</v>
          </cell>
          <cell r="L675" t="str">
            <v>Office Supplies</v>
          </cell>
          <cell r="M675" t="str">
            <v>Small Box</v>
          </cell>
          <cell r="N675" t="str">
            <v>Regular Air</v>
          </cell>
          <cell r="O675">
            <v>42254</v>
          </cell>
          <cell r="P675">
            <v>4.46</v>
          </cell>
          <cell r="Q675">
            <v>10.89</v>
          </cell>
          <cell r="R675">
            <v>6.4300000000000006</v>
          </cell>
          <cell r="S675">
            <v>3</v>
          </cell>
          <cell r="T675">
            <v>32.67</v>
          </cell>
          <cell r="V675">
            <v>2.6136000000000004</v>
          </cell>
          <cell r="W675">
            <v>30.0564</v>
          </cell>
          <cell r="X675">
            <v>4.5</v>
          </cell>
          <cell r="Y675">
            <v>34.556399999999996</v>
          </cell>
        </row>
        <row r="676">
          <cell r="A676" t="str">
            <v>6056-1</v>
          </cell>
          <cell r="B676">
            <v>42251</v>
          </cell>
          <cell r="C676" t="str">
            <v>2015</v>
          </cell>
          <cell r="D676" t="str">
            <v>Victor Price</v>
          </cell>
          <cell r="E676" t="str">
            <v>180 High Street,Windsor</v>
          </cell>
          <cell r="F676" t="str">
            <v>Melbourne</v>
          </cell>
          <cell r="G676" t="str">
            <v>VIC</v>
          </cell>
          <cell r="H676" t="str">
            <v>Consumer</v>
          </cell>
          <cell r="I676" t="str">
            <v>Connor Betts</v>
          </cell>
          <cell r="J676" t="str">
            <v>Medium</v>
          </cell>
          <cell r="K676" t="str">
            <v>Cando S750 Color Inkjet Printer</v>
          </cell>
          <cell r="L676" t="str">
            <v>Technology</v>
          </cell>
          <cell r="M676" t="str">
            <v>Jumbo Drum</v>
          </cell>
          <cell r="N676" t="str">
            <v>Delivery Truck</v>
          </cell>
          <cell r="O676">
            <v>42253</v>
          </cell>
          <cell r="P676">
            <v>75</v>
          </cell>
          <cell r="Q676">
            <v>120.97</v>
          </cell>
          <cell r="R676">
            <v>45.97</v>
          </cell>
          <cell r="S676">
            <v>46</v>
          </cell>
          <cell r="T676">
            <v>5564.62</v>
          </cell>
          <cell r="V676">
            <v>389.52340000000004</v>
          </cell>
          <cell r="W676">
            <v>5175.0965999999999</v>
          </cell>
          <cell r="X676">
            <v>26.3</v>
          </cell>
          <cell r="Y676">
            <v>5201.3966</v>
          </cell>
        </row>
        <row r="677">
          <cell r="A677" t="str">
            <v>6057-1</v>
          </cell>
          <cell r="B677">
            <v>42253</v>
          </cell>
          <cell r="C677" t="str">
            <v>2015</v>
          </cell>
          <cell r="D677" t="str">
            <v>Roy Collins</v>
          </cell>
          <cell r="E677" t="str">
            <v>6 Brookman Street</v>
          </cell>
          <cell r="F677" t="str">
            <v>Perth</v>
          </cell>
          <cell r="G677" t="str">
            <v>WA</v>
          </cell>
          <cell r="H677" t="str">
            <v>Corporate</v>
          </cell>
          <cell r="I677" t="str">
            <v>Natasha Song</v>
          </cell>
          <cell r="J677" t="str">
            <v>Critical</v>
          </cell>
          <cell r="K677" t="str">
            <v>TechSavi Cordless Elite Duo</v>
          </cell>
          <cell r="L677" t="str">
            <v>Technology</v>
          </cell>
          <cell r="M677" t="str">
            <v>Small Box</v>
          </cell>
          <cell r="N677" t="str">
            <v>Regular Air</v>
          </cell>
          <cell r="O677">
            <v>42254</v>
          </cell>
          <cell r="P677">
            <v>60.59</v>
          </cell>
          <cell r="Q677">
            <v>100.98</v>
          </cell>
          <cell r="R677">
            <v>40.39</v>
          </cell>
          <cell r="S677">
            <v>44</v>
          </cell>
          <cell r="T677">
            <v>4443.12</v>
          </cell>
          <cell r="V677">
            <v>399.88079999999997</v>
          </cell>
          <cell r="W677">
            <v>4043.2392</v>
          </cell>
          <cell r="X677">
            <v>7.18</v>
          </cell>
          <cell r="Y677">
            <v>4050.4191999999998</v>
          </cell>
        </row>
        <row r="678">
          <cell r="A678" t="str">
            <v>6058-1</v>
          </cell>
          <cell r="B678">
            <v>42254</v>
          </cell>
          <cell r="C678" t="str">
            <v>2015</v>
          </cell>
          <cell r="D678" t="str">
            <v>Naresj Patel</v>
          </cell>
          <cell r="E678" t="str">
            <v>106 Ebley Street,Bondi Junction</v>
          </cell>
          <cell r="F678" t="str">
            <v>Sydney</v>
          </cell>
          <cell r="G678" t="str">
            <v>NSW</v>
          </cell>
          <cell r="H678" t="str">
            <v>Small Business</v>
          </cell>
          <cell r="I678" t="str">
            <v>Leighton Forrest</v>
          </cell>
          <cell r="J678" t="str">
            <v>High</v>
          </cell>
          <cell r="K678" t="str">
            <v>Smiths SlimLine Pencil Sharpener</v>
          </cell>
          <cell r="L678" t="str">
            <v>Office Supplies</v>
          </cell>
          <cell r="M678" t="str">
            <v>Small Pack</v>
          </cell>
          <cell r="N678" t="str">
            <v>Regular Air</v>
          </cell>
          <cell r="O678">
            <v>42256</v>
          </cell>
          <cell r="P678">
            <v>4.79</v>
          </cell>
          <cell r="Q678">
            <v>11.97</v>
          </cell>
          <cell r="R678">
            <v>7.1800000000000006</v>
          </cell>
          <cell r="S678">
            <v>48</v>
          </cell>
          <cell r="T678">
            <v>574.56000000000006</v>
          </cell>
          <cell r="V678">
            <v>11.491200000000001</v>
          </cell>
          <cell r="W678">
            <v>563.06880000000001</v>
          </cell>
          <cell r="X678">
            <v>5.81</v>
          </cell>
          <cell r="Y678">
            <v>568.87879999999996</v>
          </cell>
        </row>
        <row r="679">
          <cell r="A679" t="str">
            <v>6059-1</v>
          </cell>
          <cell r="B679">
            <v>42255</v>
          </cell>
          <cell r="C679" t="str">
            <v>2015</v>
          </cell>
          <cell r="D679" t="str">
            <v>Beth Thompson</v>
          </cell>
          <cell r="E679" t="str">
            <v>101 Murray Street, Perth</v>
          </cell>
          <cell r="F679" t="str">
            <v>Sydney</v>
          </cell>
          <cell r="G679" t="str">
            <v>NSW</v>
          </cell>
          <cell r="H679" t="str">
            <v>Corporate</v>
          </cell>
          <cell r="I679" t="str">
            <v>Mihael Khan</v>
          </cell>
          <cell r="J679" t="str">
            <v>High</v>
          </cell>
          <cell r="K679" t="str">
            <v>Alto Memo Cubes</v>
          </cell>
          <cell r="L679" t="str">
            <v>Office Supplies</v>
          </cell>
          <cell r="M679" t="str">
            <v>Wrap Bag</v>
          </cell>
          <cell r="N679" t="str">
            <v>Regular Air</v>
          </cell>
          <cell r="O679">
            <v>42257</v>
          </cell>
          <cell r="P679">
            <v>3.32</v>
          </cell>
          <cell r="Q679">
            <v>5.18</v>
          </cell>
          <cell r="R679">
            <v>1.8599999999999999</v>
          </cell>
          <cell r="S679">
            <v>20</v>
          </cell>
          <cell r="T679">
            <v>103.6</v>
          </cell>
          <cell r="V679">
            <v>6.2159999999999993</v>
          </cell>
          <cell r="W679">
            <v>97.384</v>
          </cell>
          <cell r="X679">
            <v>2.04</v>
          </cell>
          <cell r="Y679">
            <v>99.424000000000007</v>
          </cell>
        </row>
        <row r="680">
          <cell r="A680" t="str">
            <v>6061-1</v>
          </cell>
          <cell r="B680">
            <v>42255</v>
          </cell>
          <cell r="C680" t="str">
            <v>2015</v>
          </cell>
          <cell r="D680" t="str">
            <v>Laura Armstrong</v>
          </cell>
          <cell r="E680" t="str">
            <v>240-242 Johnston Street,Fitzroy</v>
          </cell>
          <cell r="F680" t="str">
            <v>Melbourne</v>
          </cell>
          <cell r="G680" t="str">
            <v>VIC</v>
          </cell>
          <cell r="H680" t="str">
            <v>Small Business</v>
          </cell>
          <cell r="I680" t="str">
            <v>Connor Betts</v>
          </cell>
          <cell r="J680" t="str">
            <v>High</v>
          </cell>
          <cell r="K680" t="str">
            <v>Bagged Rubber Bands</v>
          </cell>
          <cell r="L680" t="str">
            <v>Office Supplies</v>
          </cell>
          <cell r="M680" t="str">
            <v>Wrap Bag</v>
          </cell>
          <cell r="N680" t="str">
            <v>Regular Air</v>
          </cell>
          <cell r="O680">
            <v>42257</v>
          </cell>
          <cell r="P680">
            <v>0.24</v>
          </cell>
          <cell r="Q680">
            <v>1.26</v>
          </cell>
          <cell r="R680">
            <v>1.02</v>
          </cell>
          <cell r="S680">
            <v>31</v>
          </cell>
          <cell r="T680">
            <v>39.06</v>
          </cell>
          <cell r="V680">
            <v>2.3435999999999999</v>
          </cell>
          <cell r="W680">
            <v>36.7164</v>
          </cell>
          <cell r="X680">
            <v>0.7</v>
          </cell>
          <cell r="Y680">
            <v>37.416400000000003</v>
          </cell>
        </row>
        <row r="681">
          <cell r="A681" t="str">
            <v>6063-1</v>
          </cell>
          <cell r="B681">
            <v>42257</v>
          </cell>
          <cell r="C681" t="str">
            <v>2015</v>
          </cell>
          <cell r="D681" t="str">
            <v>Luke Weiss</v>
          </cell>
          <cell r="E681" t="str">
            <v>88 Oxford St,Woollahra</v>
          </cell>
          <cell r="F681" t="str">
            <v>Sydney</v>
          </cell>
          <cell r="G681" t="str">
            <v>NSW</v>
          </cell>
          <cell r="H681" t="str">
            <v>Corporate</v>
          </cell>
          <cell r="I681" t="str">
            <v>Charlie Bui</v>
          </cell>
          <cell r="J681" t="str">
            <v>Critical</v>
          </cell>
          <cell r="K681" t="str">
            <v>Colored Envelopes</v>
          </cell>
          <cell r="L681" t="str">
            <v>Office Supplies</v>
          </cell>
          <cell r="M681" t="str">
            <v>Small Box</v>
          </cell>
          <cell r="N681" t="str">
            <v>Express Air</v>
          </cell>
          <cell r="O681">
            <v>42258</v>
          </cell>
          <cell r="P681">
            <v>2.25</v>
          </cell>
          <cell r="Q681">
            <v>3.69</v>
          </cell>
          <cell r="R681">
            <v>1.44</v>
          </cell>
          <cell r="S681">
            <v>23</v>
          </cell>
          <cell r="T681">
            <v>84.87</v>
          </cell>
          <cell r="V681">
            <v>1.6974</v>
          </cell>
          <cell r="W681">
            <v>83.172600000000003</v>
          </cell>
          <cell r="X681">
            <v>2.5</v>
          </cell>
          <cell r="Y681">
            <v>85.672600000000003</v>
          </cell>
        </row>
        <row r="682">
          <cell r="A682" t="str">
            <v>6065-1</v>
          </cell>
          <cell r="B682">
            <v>42258</v>
          </cell>
          <cell r="C682" t="str">
            <v>2015</v>
          </cell>
          <cell r="D682" t="str">
            <v>Cyra Reiten</v>
          </cell>
          <cell r="E682" t="str">
            <v>Westfield 1 Anderson St,Chatswood</v>
          </cell>
          <cell r="F682" t="str">
            <v>Sydney</v>
          </cell>
          <cell r="G682" t="str">
            <v>NSW</v>
          </cell>
          <cell r="H682" t="str">
            <v>Consumer</v>
          </cell>
          <cell r="I682" t="str">
            <v>Nicholas Fernandes</v>
          </cell>
          <cell r="J682" t="str">
            <v>Not Specified</v>
          </cell>
          <cell r="K682" t="str">
            <v>Pizazz Colored Pencils</v>
          </cell>
          <cell r="L682" t="str">
            <v>Office Supplies</v>
          </cell>
          <cell r="M682" t="str">
            <v>Wrap Bag</v>
          </cell>
          <cell r="N682" t="str">
            <v>Express Air</v>
          </cell>
          <cell r="O682">
            <v>42258</v>
          </cell>
          <cell r="P682">
            <v>1.76</v>
          </cell>
          <cell r="Q682">
            <v>2.94</v>
          </cell>
          <cell r="R682">
            <v>1.18</v>
          </cell>
          <cell r="S682">
            <v>47</v>
          </cell>
          <cell r="T682">
            <v>138.18</v>
          </cell>
          <cell r="V682">
            <v>5.5272000000000006</v>
          </cell>
          <cell r="W682">
            <v>132.65280000000001</v>
          </cell>
          <cell r="X682">
            <v>0.81</v>
          </cell>
          <cell r="Y682">
            <v>133.46280000000002</v>
          </cell>
        </row>
        <row r="683">
          <cell r="A683" t="str">
            <v>6066-1</v>
          </cell>
          <cell r="B683">
            <v>42259</v>
          </cell>
          <cell r="C683" t="str">
            <v>2015</v>
          </cell>
          <cell r="D683" t="str">
            <v>Bobby Elias</v>
          </cell>
          <cell r="E683" t="str">
            <v>37/59 Brewer Street, Perth</v>
          </cell>
          <cell r="F683" t="str">
            <v>Melbourne</v>
          </cell>
          <cell r="G683" t="str">
            <v>VIC</v>
          </cell>
          <cell r="H683" t="str">
            <v>Small Business</v>
          </cell>
          <cell r="I683" t="str">
            <v>Connor Betts</v>
          </cell>
          <cell r="J683" t="str">
            <v>Not Specified</v>
          </cell>
          <cell r="K683" t="str">
            <v>Assorted Color Push Pins</v>
          </cell>
          <cell r="L683" t="str">
            <v>Office Supplies</v>
          </cell>
          <cell r="M683" t="str">
            <v>Wrap Bag</v>
          </cell>
          <cell r="N683" t="str">
            <v>Regular Air</v>
          </cell>
          <cell r="O683">
            <v>42260</v>
          </cell>
          <cell r="P683">
            <v>0.87</v>
          </cell>
          <cell r="Q683">
            <v>1.81</v>
          </cell>
          <cell r="R683">
            <v>0.94000000000000006</v>
          </cell>
          <cell r="S683">
            <v>6</v>
          </cell>
          <cell r="T683">
            <v>10.86</v>
          </cell>
          <cell r="V683">
            <v>0.76019999999999999</v>
          </cell>
          <cell r="W683">
            <v>10.0998</v>
          </cell>
          <cell r="X683">
            <v>0.75</v>
          </cell>
          <cell r="Y683">
            <v>10.8498</v>
          </cell>
        </row>
        <row r="684">
          <cell r="A684" t="str">
            <v>6067-1</v>
          </cell>
          <cell r="B684">
            <v>42262</v>
          </cell>
          <cell r="C684" t="str">
            <v>2015</v>
          </cell>
          <cell r="D684" t="str">
            <v>Ricardo Emerson</v>
          </cell>
          <cell r="E684" t="str">
            <v>Westfield Sydney,Sydney</v>
          </cell>
          <cell r="F684" t="str">
            <v>Sydney</v>
          </cell>
          <cell r="G684" t="str">
            <v>NSW</v>
          </cell>
          <cell r="H684" t="str">
            <v>Corporate</v>
          </cell>
          <cell r="I684" t="str">
            <v>Natasha Song</v>
          </cell>
          <cell r="J684" t="str">
            <v>Critical</v>
          </cell>
          <cell r="K684" t="str">
            <v>Binder Clips by OIC</v>
          </cell>
          <cell r="L684" t="str">
            <v>Office Supplies</v>
          </cell>
          <cell r="M684" t="str">
            <v>Wrap Bag</v>
          </cell>
          <cell r="N684" t="str">
            <v>Regular Air</v>
          </cell>
          <cell r="O684">
            <v>42264</v>
          </cell>
          <cell r="P684">
            <v>0.93</v>
          </cell>
          <cell r="Q684">
            <v>1.48</v>
          </cell>
          <cell r="R684">
            <v>0.54999999999999993</v>
          </cell>
          <cell r="S684">
            <v>1</v>
          </cell>
          <cell r="T684">
            <v>1.48</v>
          </cell>
          <cell r="V684">
            <v>1.4800000000000001E-2</v>
          </cell>
          <cell r="W684">
            <v>1.4652000000000001</v>
          </cell>
          <cell r="X684">
            <v>0.7</v>
          </cell>
          <cell r="Y684">
            <v>2.1652</v>
          </cell>
        </row>
        <row r="685">
          <cell r="A685" t="str">
            <v>6068-1</v>
          </cell>
          <cell r="B685">
            <v>42263</v>
          </cell>
          <cell r="C685" t="str">
            <v>2015</v>
          </cell>
          <cell r="D685" t="str">
            <v>Mitch Webber</v>
          </cell>
          <cell r="E685" t="str">
            <v>Hoyts Entertainment Quarter 122 Lang Road,Moore Park</v>
          </cell>
          <cell r="F685" t="str">
            <v>Sydney</v>
          </cell>
          <cell r="G685" t="str">
            <v>NSW</v>
          </cell>
          <cell r="H685" t="str">
            <v>Corporate</v>
          </cell>
          <cell r="I685" t="str">
            <v>Tina Carlton</v>
          </cell>
          <cell r="J685" t="str">
            <v>Low</v>
          </cell>
          <cell r="K685" t="str">
            <v>Apex Office Executive Series Stainless Steel Trimmers</v>
          </cell>
          <cell r="L685" t="str">
            <v>Office Supplies</v>
          </cell>
          <cell r="M685" t="str">
            <v>Small Pack</v>
          </cell>
          <cell r="N685" t="str">
            <v>Express Air</v>
          </cell>
          <cell r="O685">
            <v>42268</v>
          </cell>
          <cell r="P685">
            <v>3.51</v>
          </cell>
          <cell r="Q685">
            <v>8.57</v>
          </cell>
          <cell r="R685">
            <v>5.0600000000000005</v>
          </cell>
          <cell r="S685">
            <v>49</v>
          </cell>
          <cell r="T685">
            <v>419.93</v>
          </cell>
          <cell r="V685">
            <v>4.1993</v>
          </cell>
          <cell r="W685">
            <v>415.73070000000001</v>
          </cell>
          <cell r="X685">
            <v>6.14</v>
          </cell>
          <cell r="Y685">
            <v>421.8707</v>
          </cell>
        </row>
        <row r="686">
          <cell r="A686" t="str">
            <v>6070-1</v>
          </cell>
          <cell r="B686">
            <v>42264</v>
          </cell>
          <cell r="C686" t="str">
            <v>2015</v>
          </cell>
          <cell r="D686" t="str">
            <v>Naresj Patel</v>
          </cell>
          <cell r="E686" t="str">
            <v>106 Ebley Street,Bondi Junction</v>
          </cell>
          <cell r="F686" t="str">
            <v>Sydney</v>
          </cell>
          <cell r="G686" t="str">
            <v>NSW</v>
          </cell>
          <cell r="H686" t="str">
            <v>Small Business</v>
          </cell>
          <cell r="I686" t="str">
            <v>Leighton Forrest</v>
          </cell>
          <cell r="J686" t="str">
            <v>Not Specified</v>
          </cell>
          <cell r="K686" t="str">
            <v>Smiths Gold Paper Clips</v>
          </cell>
          <cell r="L686" t="str">
            <v>Office Supplies</v>
          </cell>
          <cell r="M686" t="str">
            <v>Wrap Bag</v>
          </cell>
          <cell r="N686" t="str">
            <v>Regular Air</v>
          </cell>
          <cell r="O686">
            <v>42264</v>
          </cell>
          <cell r="P686">
            <v>1.82</v>
          </cell>
          <cell r="Q686">
            <v>2.98</v>
          </cell>
          <cell r="R686">
            <v>1.1599999999999999</v>
          </cell>
          <cell r="S686">
            <v>3</v>
          </cell>
          <cell r="T686">
            <v>8.94</v>
          </cell>
          <cell r="V686">
            <v>0.35759999999999997</v>
          </cell>
          <cell r="W686">
            <v>8.5823999999999998</v>
          </cell>
          <cell r="X686">
            <v>1.58</v>
          </cell>
          <cell r="Y686">
            <v>10.1624</v>
          </cell>
        </row>
        <row r="687">
          <cell r="A687" t="str">
            <v>6071-1</v>
          </cell>
          <cell r="B687">
            <v>42272</v>
          </cell>
          <cell r="C687" t="str">
            <v>2015</v>
          </cell>
          <cell r="D687" t="str">
            <v>Denise Leinenbach</v>
          </cell>
          <cell r="E687" t="str">
            <v>8 Rankins Lane ,Melbourne</v>
          </cell>
          <cell r="F687" t="str">
            <v>Melbourne</v>
          </cell>
          <cell r="G687" t="str">
            <v>VIC</v>
          </cell>
          <cell r="H687" t="str">
            <v>Home Office</v>
          </cell>
          <cell r="I687" t="str">
            <v>Connor Betts</v>
          </cell>
          <cell r="J687" t="str">
            <v>Not Specified</v>
          </cell>
          <cell r="K687" t="str">
            <v>Artisan Legal 4-Ring Binder</v>
          </cell>
          <cell r="L687" t="str">
            <v>Office Supplies</v>
          </cell>
          <cell r="M687" t="str">
            <v>Small Box</v>
          </cell>
          <cell r="N687" t="str">
            <v>Regular Air</v>
          </cell>
          <cell r="O687">
            <v>42273</v>
          </cell>
          <cell r="P687">
            <v>13.64</v>
          </cell>
          <cell r="Q687">
            <v>20.98</v>
          </cell>
          <cell r="R687">
            <v>7.34</v>
          </cell>
          <cell r="S687">
            <v>10</v>
          </cell>
          <cell r="T687">
            <v>209.8</v>
          </cell>
          <cell r="V687">
            <v>12.588000000000001</v>
          </cell>
          <cell r="W687">
            <v>197.21200000000002</v>
          </cell>
          <cell r="X687">
            <v>1.49</v>
          </cell>
          <cell r="Y687">
            <v>198.70200000000003</v>
          </cell>
        </row>
        <row r="688">
          <cell r="A688" t="str">
            <v>6072-1</v>
          </cell>
          <cell r="B688">
            <v>42272</v>
          </cell>
          <cell r="C688" t="str">
            <v>2015</v>
          </cell>
          <cell r="D688" t="str">
            <v>Roy Phan</v>
          </cell>
          <cell r="E688" t="str">
            <v>506 Swan Street,Richmond</v>
          </cell>
          <cell r="F688" t="str">
            <v>Melbourne</v>
          </cell>
          <cell r="G688" t="str">
            <v>VIC</v>
          </cell>
          <cell r="H688" t="str">
            <v>Corporate</v>
          </cell>
          <cell r="I688" t="str">
            <v>Connor Betts</v>
          </cell>
          <cell r="J688" t="str">
            <v>Critical</v>
          </cell>
          <cell r="K688" t="str">
            <v>Self-Adhesive Ring Binder Labels</v>
          </cell>
          <cell r="L688" t="str">
            <v>Office Supplies</v>
          </cell>
          <cell r="M688" t="str">
            <v>Small Box</v>
          </cell>
          <cell r="N688" t="str">
            <v>Regular Air</v>
          </cell>
          <cell r="O688">
            <v>42274</v>
          </cell>
          <cell r="P688">
            <v>2.1800000000000002</v>
          </cell>
          <cell r="Q688">
            <v>3.52</v>
          </cell>
          <cell r="R688">
            <v>1.3399999999999999</v>
          </cell>
          <cell r="S688">
            <v>13</v>
          </cell>
          <cell r="T688">
            <v>45.76</v>
          </cell>
          <cell r="V688">
            <v>3.6608000000000001</v>
          </cell>
          <cell r="W688">
            <v>42.099199999999996</v>
          </cell>
          <cell r="X688">
            <v>6.83</v>
          </cell>
          <cell r="Y688">
            <v>48.929199999999994</v>
          </cell>
        </row>
        <row r="689">
          <cell r="A689" t="str">
            <v>6074-1</v>
          </cell>
          <cell r="B689">
            <v>42273</v>
          </cell>
          <cell r="C689" t="str">
            <v>2015</v>
          </cell>
          <cell r="D689" t="str">
            <v>Yana Sorensen</v>
          </cell>
          <cell r="E689" t="str">
            <v>53-55 Liverpool St,Sydney</v>
          </cell>
          <cell r="F689" t="str">
            <v>Sydney</v>
          </cell>
          <cell r="G689" t="str">
            <v>NSW</v>
          </cell>
          <cell r="H689" t="str">
            <v>Corporate</v>
          </cell>
          <cell r="I689" t="str">
            <v>Tina Carlton</v>
          </cell>
          <cell r="J689" t="str">
            <v>High</v>
          </cell>
          <cell r="K689" t="str">
            <v>3Max Organizer Strips</v>
          </cell>
          <cell r="L689" t="str">
            <v>Office Supplies</v>
          </cell>
          <cell r="M689" t="str">
            <v>Small Box</v>
          </cell>
          <cell r="N689" t="str">
            <v>Regular Air</v>
          </cell>
          <cell r="O689">
            <v>42275</v>
          </cell>
          <cell r="P689">
            <v>3.4</v>
          </cell>
          <cell r="Q689">
            <v>5.4</v>
          </cell>
          <cell r="R689">
            <v>2.0000000000000004</v>
          </cell>
          <cell r="S689">
            <v>10</v>
          </cell>
          <cell r="T689">
            <v>54</v>
          </cell>
          <cell r="V689">
            <v>2.16</v>
          </cell>
          <cell r="W689">
            <v>51.84</v>
          </cell>
          <cell r="X689">
            <v>7.78</v>
          </cell>
          <cell r="Y689">
            <v>59.620000000000005</v>
          </cell>
        </row>
        <row r="690">
          <cell r="A690" t="str">
            <v>6076-1</v>
          </cell>
          <cell r="B690">
            <v>42274</v>
          </cell>
          <cell r="C690" t="str">
            <v>2015</v>
          </cell>
          <cell r="D690" t="str">
            <v>Anthony Johnson</v>
          </cell>
          <cell r="E690" t="str">
            <v>10 Lake Street, Perth</v>
          </cell>
          <cell r="F690" t="str">
            <v>Sydney</v>
          </cell>
          <cell r="G690" t="str">
            <v>NSW</v>
          </cell>
          <cell r="H690" t="str">
            <v>Small Business</v>
          </cell>
          <cell r="I690" t="str">
            <v>Tina Carlton</v>
          </cell>
          <cell r="J690" t="str">
            <v>Not Specified</v>
          </cell>
          <cell r="K690" t="str">
            <v>Xit Blank Computer Paper</v>
          </cell>
          <cell r="L690" t="str">
            <v>Office Supplies</v>
          </cell>
          <cell r="M690" t="str">
            <v>Small Box</v>
          </cell>
          <cell r="N690" t="str">
            <v>Regular Air</v>
          </cell>
          <cell r="O690">
            <v>42276</v>
          </cell>
          <cell r="P690">
            <v>12.39</v>
          </cell>
          <cell r="Q690">
            <v>19.98</v>
          </cell>
          <cell r="R690">
            <v>7.59</v>
          </cell>
          <cell r="S690">
            <v>20</v>
          </cell>
          <cell r="T690">
            <v>399.6</v>
          </cell>
          <cell r="V690">
            <v>19.980000000000004</v>
          </cell>
          <cell r="W690">
            <v>379.62</v>
          </cell>
          <cell r="X690">
            <v>5.77</v>
          </cell>
          <cell r="Y690">
            <v>385.39</v>
          </cell>
        </row>
        <row r="691">
          <cell r="A691" t="str">
            <v>6077-1</v>
          </cell>
          <cell r="B691">
            <v>42274</v>
          </cell>
          <cell r="C691" t="str">
            <v>2015</v>
          </cell>
          <cell r="D691" t="str">
            <v>Brad Norvell</v>
          </cell>
          <cell r="E691" t="str">
            <v>120 Hardware St,Melbourne</v>
          </cell>
          <cell r="F691" t="str">
            <v>Melbourne</v>
          </cell>
          <cell r="G691" t="str">
            <v>VIC</v>
          </cell>
          <cell r="H691" t="str">
            <v>Corporate</v>
          </cell>
          <cell r="I691" t="str">
            <v>Yvette Biti</v>
          </cell>
          <cell r="J691" t="str">
            <v>Low</v>
          </cell>
          <cell r="K691" t="str">
            <v>Xit Blank Computer Paper</v>
          </cell>
          <cell r="L691" t="str">
            <v>Office Supplies</v>
          </cell>
          <cell r="M691" t="str">
            <v>Small Box</v>
          </cell>
          <cell r="N691" t="str">
            <v>Regular Air</v>
          </cell>
          <cell r="O691">
            <v>42274</v>
          </cell>
          <cell r="P691">
            <v>12.39</v>
          </cell>
          <cell r="Q691">
            <v>19.98</v>
          </cell>
          <cell r="R691">
            <v>7.59</v>
          </cell>
          <cell r="S691">
            <v>34</v>
          </cell>
          <cell r="T691">
            <v>679.32</v>
          </cell>
          <cell r="V691">
            <v>40.7592</v>
          </cell>
          <cell r="W691">
            <v>638.56080000000009</v>
          </cell>
          <cell r="X691">
            <v>5.77</v>
          </cell>
          <cell r="Y691">
            <v>644.33080000000007</v>
          </cell>
        </row>
        <row r="692">
          <cell r="A692" t="str">
            <v>6079-1</v>
          </cell>
          <cell r="B692">
            <v>42275</v>
          </cell>
          <cell r="C692" t="str">
            <v>2015</v>
          </cell>
          <cell r="D692" t="str">
            <v>Maria Bertelson</v>
          </cell>
          <cell r="E692" t="str">
            <v>188 Pitt Street,Sydney</v>
          </cell>
          <cell r="F692" t="str">
            <v>Sydney</v>
          </cell>
          <cell r="G692" t="str">
            <v>NSW</v>
          </cell>
          <cell r="H692" t="str">
            <v>Home Office</v>
          </cell>
          <cell r="I692" t="str">
            <v>Tina Carlton</v>
          </cell>
          <cell r="J692" t="str">
            <v>Not Specified</v>
          </cell>
          <cell r="K692" t="str">
            <v>Steady Major Accent Highlighters</v>
          </cell>
          <cell r="L692" t="str">
            <v>Office Supplies</v>
          </cell>
          <cell r="M692" t="str">
            <v>Wrap Bag</v>
          </cell>
          <cell r="N692" t="str">
            <v>Regular Air</v>
          </cell>
          <cell r="O692">
            <v>42277</v>
          </cell>
          <cell r="P692">
            <v>3.75</v>
          </cell>
          <cell r="Q692">
            <v>7.08</v>
          </cell>
          <cell r="R692">
            <v>3.33</v>
          </cell>
          <cell r="S692">
            <v>37</v>
          </cell>
          <cell r="T692">
            <v>261.95999999999998</v>
          </cell>
          <cell r="V692">
            <v>20.956799999999998</v>
          </cell>
          <cell r="W692">
            <v>241.00319999999999</v>
          </cell>
          <cell r="X692">
            <v>2.35</v>
          </cell>
          <cell r="Y692">
            <v>243.35319999999999</v>
          </cell>
        </row>
        <row r="693">
          <cell r="A693" t="str">
            <v>6081-1</v>
          </cell>
          <cell r="B693">
            <v>42276</v>
          </cell>
          <cell r="C693" t="str">
            <v>2015</v>
          </cell>
          <cell r="D693" t="str">
            <v>Michael Oakman</v>
          </cell>
          <cell r="E693" t="str">
            <v>8 Rankins Lane ,Melbourne</v>
          </cell>
          <cell r="F693" t="str">
            <v>Melbourne</v>
          </cell>
          <cell r="G693" t="str">
            <v>VIC</v>
          </cell>
          <cell r="H693" t="str">
            <v>Small Business</v>
          </cell>
          <cell r="I693" t="str">
            <v>Connor Betts</v>
          </cell>
          <cell r="J693" t="str">
            <v>Medium</v>
          </cell>
          <cell r="K693" t="str">
            <v>Binder Posts</v>
          </cell>
          <cell r="L693" t="str">
            <v>Office Supplies</v>
          </cell>
          <cell r="M693" t="str">
            <v>Small Box</v>
          </cell>
          <cell r="N693" t="str">
            <v>Express Air</v>
          </cell>
          <cell r="O693">
            <v>42277</v>
          </cell>
          <cell r="P693">
            <v>3.5</v>
          </cell>
          <cell r="Q693">
            <v>5.74</v>
          </cell>
          <cell r="R693">
            <v>2.2400000000000002</v>
          </cell>
          <cell r="S693">
            <v>26</v>
          </cell>
          <cell r="T693">
            <v>149.24</v>
          </cell>
          <cell r="V693">
            <v>4.4771999999999998</v>
          </cell>
          <cell r="W693">
            <v>144.7628</v>
          </cell>
          <cell r="X693">
            <v>5.01</v>
          </cell>
          <cell r="Y693">
            <v>149.77279999999999</v>
          </cell>
        </row>
        <row r="694">
          <cell r="A694" t="str">
            <v>6083-1</v>
          </cell>
          <cell r="B694">
            <v>42278</v>
          </cell>
          <cell r="C694" t="str">
            <v>2015</v>
          </cell>
          <cell r="D694" t="str">
            <v>Damala Kotsonis</v>
          </cell>
          <cell r="E694" t="str">
            <v>Macquarie Centre Cnr Herring Road &amp; Waterloo Road,Macquarie Park</v>
          </cell>
          <cell r="F694" t="str">
            <v>Sydney</v>
          </cell>
          <cell r="G694" t="str">
            <v>NSW</v>
          </cell>
          <cell r="H694" t="str">
            <v>Corporate</v>
          </cell>
          <cell r="I694" t="str">
            <v>Nicholas Fernandes</v>
          </cell>
          <cell r="J694" t="str">
            <v>Low</v>
          </cell>
          <cell r="K694" t="str">
            <v>Artisan Hi-Liter Comfort Grip Fluorescent Highlighter, Yellow Ink</v>
          </cell>
          <cell r="L694" t="str">
            <v>Office Supplies</v>
          </cell>
          <cell r="M694" t="str">
            <v>Wrap Bag</v>
          </cell>
          <cell r="N694" t="str">
            <v>Regular Air</v>
          </cell>
          <cell r="O694">
            <v>42287</v>
          </cell>
          <cell r="P694">
            <v>1.05</v>
          </cell>
          <cell r="Q694">
            <v>1.95</v>
          </cell>
          <cell r="R694">
            <v>0.89999999999999991</v>
          </cell>
          <cell r="S694">
            <v>4</v>
          </cell>
          <cell r="T694">
            <v>7.8</v>
          </cell>
          <cell r="V694">
            <v>0.70199999999999996</v>
          </cell>
          <cell r="W694">
            <v>7.0979999999999999</v>
          </cell>
          <cell r="X694">
            <v>1.63</v>
          </cell>
          <cell r="Y694">
            <v>8.7279999999999998</v>
          </cell>
        </row>
        <row r="695">
          <cell r="A695" t="str">
            <v>6085-1</v>
          </cell>
          <cell r="B695">
            <v>42286</v>
          </cell>
          <cell r="C695" t="str">
            <v>2015</v>
          </cell>
          <cell r="D695" t="str">
            <v>Janet Lee</v>
          </cell>
          <cell r="E695" t="str">
            <v>Hoyts Entertainment Quarter 122 Lang Road,Moore Park</v>
          </cell>
          <cell r="F695" t="str">
            <v>Sydney</v>
          </cell>
          <cell r="G695" t="str">
            <v>NSW</v>
          </cell>
          <cell r="H695" t="str">
            <v>Consumer</v>
          </cell>
          <cell r="I695" t="str">
            <v>Tina Carlton</v>
          </cell>
          <cell r="J695" t="str">
            <v>High</v>
          </cell>
          <cell r="K695" t="str">
            <v>Emerson Stylus 1520 Color Inkjet Printer</v>
          </cell>
          <cell r="L695" t="str">
            <v>Technology</v>
          </cell>
          <cell r="M695" t="str">
            <v>Jumbo Drum</v>
          </cell>
          <cell r="N695" t="str">
            <v>Delivery Truck</v>
          </cell>
          <cell r="O695">
            <v>42288</v>
          </cell>
          <cell r="P695">
            <v>315.61</v>
          </cell>
          <cell r="Q695">
            <v>500.97</v>
          </cell>
          <cell r="R695">
            <v>185.36</v>
          </cell>
          <cell r="S695">
            <v>25</v>
          </cell>
          <cell r="T695">
            <v>12524.25</v>
          </cell>
          <cell r="V695">
            <v>250.48500000000001</v>
          </cell>
          <cell r="W695">
            <v>12273.764999999999</v>
          </cell>
          <cell r="X695">
            <v>69.3</v>
          </cell>
          <cell r="Y695">
            <v>12343.064999999999</v>
          </cell>
        </row>
        <row r="696">
          <cell r="A696" t="str">
            <v>6086-1</v>
          </cell>
          <cell r="B696">
            <v>42289</v>
          </cell>
          <cell r="C696" t="str">
            <v>2015</v>
          </cell>
          <cell r="D696" t="str">
            <v>Bobby Trafton</v>
          </cell>
          <cell r="E696" t="str">
            <v>8/2 Edward Street, Perth</v>
          </cell>
          <cell r="F696" t="str">
            <v>Sydney</v>
          </cell>
          <cell r="G696" t="str">
            <v>NSW</v>
          </cell>
          <cell r="H696" t="str">
            <v>Corporate</v>
          </cell>
          <cell r="I696" t="str">
            <v>Mihael Khan</v>
          </cell>
          <cell r="J696" t="str">
            <v>High</v>
          </cell>
          <cell r="K696" t="str">
            <v>Smiths General Use 3-Ring Binders</v>
          </cell>
          <cell r="L696" t="str">
            <v>Office Supplies</v>
          </cell>
          <cell r="M696" t="str">
            <v>Small Box</v>
          </cell>
          <cell r="N696" t="str">
            <v>Regular Air</v>
          </cell>
          <cell r="O696">
            <v>42291</v>
          </cell>
          <cell r="P696">
            <v>1.18</v>
          </cell>
          <cell r="Q696">
            <v>1.88</v>
          </cell>
          <cell r="R696">
            <v>0.7</v>
          </cell>
          <cell r="S696">
            <v>29</v>
          </cell>
          <cell r="T696">
            <v>54.519999999999996</v>
          </cell>
          <cell r="V696">
            <v>5.452</v>
          </cell>
          <cell r="W696">
            <v>49.067999999999998</v>
          </cell>
          <cell r="X696">
            <v>1.49</v>
          </cell>
          <cell r="Y696">
            <v>50.558</v>
          </cell>
        </row>
        <row r="697">
          <cell r="A697" t="str">
            <v>6088-1</v>
          </cell>
          <cell r="B697">
            <v>42290</v>
          </cell>
          <cell r="C697" t="str">
            <v>2015</v>
          </cell>
          <cell r="D697" t="str">
            <v>Clytie Kelty</v>
          </cell>
          <cell r="E697" t="str">
            <v>8 Khartoum Rd,Macquarie Park</v>
          </cell>
          <cell r="F697" t="str">
            <v>Sydney</v>
          </cell>
          <cell r="G697" t="str">
            <v>NSW</v>
          </cell>
          <cell r="H697" t="str">
            <v>Small Business</v>
          </cell>
          <cell r="I697" t="str">
            <v>Radhya Staples</v>
          </cell>
          <cell r="J697" t="str">
            <v>Low</v>
          </cell>
          <cell r="K697" t="str">
            <v>Cando PC940 Copier</v>
          </cell>
          <cell r="L697" t="str">
            <v>Technology</v>
          </cell>
          <cell r="M697" t="str">
            <v>Jumbo Drum</v>
          </cell>
          <cell r="N697" t="str">
            <v>Delivery Truck</v>
          </cell>
          <cell r="O697">
            <v>42292</v>
          </cell>
          <cell r="P697">
            <v>278.99</v>
          </cell>
          <cell r="Q697">
            <v>449.99</v>
          </cell>
          <cell r="R697">
            <v>171</v>
          </cell>
          <cell r="S697">
            <v>47</v>
          </cell>
          <cell r="T697">
            <v>21149.53</v>
          </cell>
          <cell r="V697">
            <v>422.99059999999997</v>
          </cell>
          <cell r="W697">
            <v>20726.539399999998</v>
          </cell>
          <cell r="X697">
            <v>49</v>
          </cell>
          <cell r="Y697">
            <v>20775.539399999998</v>
          </cell>
        </row>
        <row r="698">
          <cell r="A698" t="str">
            <v>6090-1</v>
          </cell>
          <cell r="B698">
            <v>42292</v>
          </cell>
          <cell r="C698" t="str">
            <v>2015</v>
          </cell>
          <cell r="D698" t="str">
            <v>Barbara Fisher</v>
          </cell>
          <cell r="E698" t="str">
            <v>3/265 Stirling Street, Perth</v>
          </cell>
          <cell r="F698" t="str">
            <v>Melbourne</v>
          </cell>
          <cell r="G698" t="str">
            <v>VIC</v>
          </cell>
          <cell r="H698" t="str">
            <v>Small Business</v>
          </cell>
          <cell r="I698" t="str">
            <v>Connor Betts</v>
          </cell>
          <cell r="J698" t="str">
            <v>Critical</v>
          </cell>
          <cell r="K698" t="str">
            <v>3Max Organizer Strips</v>
          </cell>
          <cell r="L698" t="str">
            <v>Office Supplies</v>
          </cell>
          <cell r="M698" t="str">
            <v>Small Box</v>
          </cell>
          <cell r="N698" t="str">
            <v>Regular Air</v>
          </cell>
          <cell r="O698">
            <v>42293</v>
          </cell>
          <cell r="P698">
            <v>3.4</v>
          </cell>
          <cell r="Q698">
            <v>5.4</v>
          </cell>
          <cell r="R698">
            <v>2.0000000000000004</v>
          </cell>
          <cell r="S698">
            <v>8</v>
          </cell>
          <cell r="T698">
            <v>43.2</v>
          </cell>
          <cell r="V698">
            <v>0</v>
          </cell>
          <cell r="W698">
            <v>43.2</v>
          </cell>
          <cell r="X698">
            <v>7.78</v>
          </cell>
          <cell r="Y698">
            <v>50.980000000000004</v>
          </cell>
        </row>
        <row r="699">
          <cell r="A699" t="str">
            <v>6094-1</v>
          </cell>
          <cell r="B699">
            <v>42297</v>
          </cell>
          <cell r="C699" t="str">
            <v>2015</v>
          </cell>
          <cell r="D699" t="str">
            <v>Eva Jacobs</v>
          </cell>
          <cell r="E699" t="str">
            <v>Westfield 1 Anderson St,Chatswood</v>
          </cell>
          <cell r="F699" t="str">
            <v>Sydney</v>
          </cell>
          <cell r="G699" t="str">
            <v>NSW</v>
          </cell>
          <cell r="H699" t="str">
            <v>Home Office</v>
          </cell>
          <cell r="I699" t="str">
            <v>Nicholas Fernandes</v>
          </cell>
          <cell r="J699" t="str">
            <v>Low</v>
          </cell>
          <cell r="K699" t="str">
            <v>Artisan Reinforcements for Hole-Punch Pages</v>
          </cell>
          <cell r="L699" t="str">
            <v>Office Supplies</v>
          </cell>
          <cell r="M699" t="str">
            <v>Small Box</v>
          </cell>
          <cell r="N699" t="str">
            <v>Regular Air</v>
          </cell>
          <cell r="O699">
            <v>42301</v>
          </cell>
          <cell r="P699">
            <v>1.19</v>
          </cell>
          <cell r="Q699">
            <v>1.98</v>
          </cell>
          <cell r="R699">
            <v>0.79</v>
          </cell>
          <cell r="S699">
            <v>4</v>
          </cell>
          <cell r="T699">
            <v>7.92</v>
          </cell>
          <cell r="V699">
            <v>0.63360000000000005</v>
          </cell>
          <cell r="W699">
            <v>7.2863999999999995</v>
          </cell>
          <cell r="X699">
            <v>4.7699999999999996</v>
          </cell>
          <cell r="Y699">
            <v>12.0564</v>
          </cell>
        </row>
        <row r="700">
          <cell r="A700" t="str">
            <v>6095-1</v>
          </cell>
          <cell r="B700">
            <v>42298</v>
          </cell>
          <cell r="C700" t="str">
            <v>2015</v>
          </cell>
          <cell r="D700" t="str">
            <v>Kelly Lampkin</v>
          </cell>
          <cell r="E700" t="str">
            <v>310 Wattle St,Ultimo</v>
          </cell>
          <cell r="F700" t="str">
            <v>Sydney</v>
          </cell>
          <cell r="G700" t="str">
            <v>NSW</v>
          </cell>
          <cell r="H700" t="str">
            <v>Home Office</v>
          </cell>
          <cell r="I700" t="str">
            <v>Aanya Zhang</v>
          </cell>
          <cell r="J700" t="str">
            <v>Medium</v>
          </cell>
          <cell r="K700" t="str">
            <v>OIC Bulk Pack Metal Binder Clips</v>
          </cell>
          <cell r="L700" t="str">
            <v>Office Supplies</v>
          </cell>
          <cell r="M700" t="str">
            <v>Wrap Bag</v>
          </cell>
          <cell r="N700" t="str">
            <v>Express Air</v>
          </cell>
          <cell r="O700">
            <v>42300</v>
          </cell>
          <cell r="P700">
            <v>2.13</v>
          </cell>
          <cell r="Q700">
            <v>3.49</v>
          </cell>
          <cell r="R700">
            <v>1.3600000000000003</v>
          </cell>
          <cell r="S700">
            <v>3</v>
          </cell>
          <cell r="T700">
            <v>10.47</v>
          </cell>
          <cell r="V700">
            <v>0.10470000000000002</v>
          </cell>
          <cell r="W700">
            <v>10.365300000000001</v>
          </cell>
          <cell r="X700">
            <v>0.76</v>
          </cell>
          <cell r="Y700">
            <v>11.125300000000001</v>
          </cell>
        </row>
        <row r="701">
          <cell r="A701" t="str">
            <v>6096-1</v>
          </cell>
          <cell r="B701">
            <v>42298</v>
          </cell>
          <cell r="C701" t="str">
            <v>2015</v>
          </cell>
          <cell r="D701" t="str">
            <v>Sung Shariari</v>
          </cell>
          <cell r="E701" t="str">
            <v>6/15 Cross Street,Double Bay</v>
          </cell>
          <cell r="F701" t="str">
            <v>Sydney</v>
          </cell>
          <cell r="G701" t="str">
            <v>NSW</v>
          </cell>
          <cell r="H701" t="str">
            <v>Corporate</v>
          </cell>
          <cell r="I701" t="str">
            <v>Leighton Forrest</v>
          </cell>
          <cell r="J701" t="str">
            <v>High</v>
          </cell>
          <cell r="K701" t="str">
            <v>Smiths General Use 3-Ring Binders</v>
          </cell>
          <cell r="L701" t="str">
            <v>Office Supplies</v>
          </cell>
          <cell r="M701" t="str">
            <v>Small Box</v>
          </cell>
          <cell r="N701" t="str">
            <v>Regular Air</v>
          </cell>
          <cell r="O701">
            <v>42300</v>
          </cell>
          <cell r="P701">
            <v>1.18</v>
          </cell>
          <cell r="Q701">
            <v>1.88</v>
          </cell>
          <cell r="R701">
            <v>0.7</v>
          </cell>
          <cell r="S701">
            <v>6</v>
          </cell>
          <cell r="T701">
            <v>11.28</v>
          </cell>
          <cell r="V701">
            <v>0.78960000000000008</v>
          </cell>
          <cell r="W701">
            <v>10.490399999999999</v>
          </cell>
          <cell r="X701">
            <v>1.49</v>
          </cell>
          <cell r="Y701">
            <v>11.980399999999999</v>
          </cell>
        </row>
        <row r="702">
          <cell r="A702" t="str">
            <v>6098-1</v>
          </cell>
          <cell r="B702">
            <v>42301</v>
          </cell>
          <cell r="C702" t="str">
            <v>2015</v>
          </cell>
          <cell r="D702" t="str">
            <v>Annie Thurman</v>
          </cell>
          <cell r="E702" t="str">
            <v>101 Murray Street, Perth</v>
          </cell>
          <cell r="F702" t="str">
            <v>Melbourne</v>
          </cell>
          <cell r="G702" t="str">
            <v>VIC</v>
          </cell>
          <cell r="H702" t="str">
            <v>Consumer</v>
          </cell>
          <cell r="I702" t="str">
            <v>Yvette Biti</v>
          </cell>
          <cell r="J702" t="str">
            <v>Critical</v>
          </cell>
          <cell r="K702" t="str">
            <v>Angle-D Binders with Locking Rings, Label Holders</v>
          </cell>
          <cell r="L702" t="str">
            <v>Office Supplies</v>
          </cell>
          <cell r="M702" t="str">
            <v>Small Box</v>
          </cell>
          <cell r="N702" t="str">
            <v>Regular Air</v>
          </cell>
          <cell r="O702">
            <v>42303</v>
          </cell>
          <cell r="P702">
            <v>4.53</v>
          </cell>
          <cell r="Q702">
            <v>7.3</v>
          </cell>
          <cell r="R702">
            <v>2.7699999999999996</v>
          </cell>
          <cell r="S702">
            <v>34</v>
          </cell>
          <cell r="T702">
            <v>248.2</v>
          </cell>
          <cell r="V702">
            <v>7.4459999999999997</v>
          </cell>
          <cell r="W702">
            <v>240.75399999999999</v>
          </cell>
          <cell r="X702">
            <v>7.72</v>
          </cell>
          <cell r="Y702">
            <v>248.47399999999999</v>
          </cell>
        </row>
        <row r="703">
          <cell r="A703" t="str">
            <v>6099-1</v>
          </cell>
          <cell r="B703">
            <v>42301</v>
          </cell>
          <cell r="C703" t="str">
            <v>2015</v>
          </cell>
          <cell r="D703" t="str">
            <v>Shahid Hopkins</v>
          </cell>
          <cell r="E703" t="str">
            <v>438 Victoria Avenue,Chatswood</v>
          </cell>
          <cell r="F703" t="str">
            <v>Sydney</v>
          </cell>
          <cell r="G703" t="str">
            <v>NSW</v>
          </cell>
          <cell r="H703" t="str">
            <v>Small Business</v>
          </cell>
          <cell r="I703" t="str">
            <v>Natasha Song</v>
          </cell>
          <cell r="J703" t="str">
            <v>High</v>
          </cell>
          <cell r="K703" t="str">
            <v>Colored Envelopes</v>
          </cell>
          <cell r="L703" t="str">
            <v>Office Supplies</v>
          </cell>
          <cell r="M703" t="str">
            <v>Small Box</v>
          </cell>
          <cell r="N703" t="str">
            <v>Regular Air</v>
          </cell>
          <cell r="O703">
            <v>42303</v>
          </cell>
          <cell r="P703">
            <v>2.25</v>
          </cell>
          <cell r="Q703">
            <v>3.69</v>
          </cell>
          <cell r="R703">
            <v>1.44</v>
          </cell>
          <cell r="S703">
            <v>47</v>
          </cell>
          <cell r="T703">
            <v>173.43</v>
          </cell>
          <cell r="V703">
            <v>0</v>
          </cell>
          <cell r="W703">
            <v>173.43</v>
          </cell>
          <cell r="X703">
            <v>2.5</v>
          </cell>
          <cell r="Y703">
            <v>175.93</v>
          </cell>
        </row>
        <row r="704">
          <cell r="A704" t="str">
            <v>6100-1</v>
          </cell>
          <cell r="B704">
            <v>42305</v>
          </cell>
          <cell r="C704" t="str">
            <v>2015</v>
          </cell>
          <cell r="D704" t="str">
            <v>William Brown</v>
          </cell>
          <cell r="E704" t="str">
            <v>3 Carrington Road ,Box Hill</v>
          </cell>
          <cell r="F704" t="str">
            <v>Melbourne</v>
          </cell>
          <cell r="G704" t="str">
            <v>VIC</v>
          </cell>
          <cell r="H704" t="str">
            <v>Corporate</v>
          </cell>
          <cell r="I704" t="str">
            <v>Yvette Biti</v>
          </cell>
          <cell r="J704" t="str">
            <v>Not Specified</v>
          </cell>
          <cell r="K704" t="str">
            <v>HFX 6S Scientific Calculator</v>
          </cell>
          <cell r="L704" t="str">
            <v>Technology</v>
          </cell>
          <cell r="M704" t="str">
            <v>Medium Box</v>
          </cell>
          <cell r="N704" t="str">
            <v>Regular Air</v>
          </cell>
          <cell r="O704">
            <v>42307</v>
          </cell>
          <cell r="P704">
            <v>7.92</v>
          </cell>
          <cell r="Q704">
            <v>12.99</v>
          </cell>
          <cell r="R704">
            <v>5.07</v>
          </cell>
          <cell r="S704">
            <v>46</v>
          </cell>
          <cell r="T704">
            <v>597.54</v>
          </cell>
          <cell r="V704">
            <v>5.9753999999999996</v>
          </cell>
          <cell r="W704">
            <v>591.56459999999993</v>
          </cell>
          <cell r="X704">
            <v>9.44</v>
          </cell>
          <cell r="Y704">
            <v>601.00459999999998</v>
          </cell>
        </row>
        <row r="705">
          <cell r="A705" t="str">
            <v>6102-1</v>
          </cell>
          <cell r="B705">
            <v>42308</v>
          </cell>
          <cell r="C705" t="str">
            <v>2015</v>
          </cell>
          <cell r="D705" t="str">
            <v>Gary Zandusky</v>
          </cell>
          <cell r="E705" t="str">
            <v>Shop 1, 186-190 Church Street,Parramatta;46a Macleay Street,Potts Point</v>
          </cell>
          <cell r="F705" t="str">
            <v>Sydney</v>
          </cell>
          <cell r="G705" t="str">
            <v>NSW</v>
          </cell>
          <cell r="H705" t="str">
            <v>Home Office</v>
          </cell>
          <cell r="I705" t="str">
            <v>Mihael Khan</v>
          </cell>
          <cell r="J705" t="str">
            <v>High</v>
          </cell>
          <cell r="K705" t="str">
            <v>Deluxe Rollaway Locking File with Drawer</v>
          </cell>
          <cell r="L705" t="str">
            <v>Office Supplies</v>
          </cell>
          <cell r="M705" t="str">
            <v>Small Box</v>
          </cell>
          <cell r="N705" t="str">
            <v>Regular Air</v>
          </cell>
          <cell r="O705">
            <v>42308</v>
          </cell>
          <cell r="P705">
            <v>178.83</v>
          </cell>
          <cell r="Q705">
            <v>415.88</v>
          </cell>
          <cell r="R705">
            <v>237.04999999999998</v>
          </cell>
          <cell r="S705">
            <v>21</v>
          </cell>
          <cell r="T705">
            <v>8733.48</v>
          </cell>
          <cell r="V705">
            <v>786.01319999999998</v>
          </cell>
          <cell r="W705">
            <v>7947.4667999999992</v>
          </cell>
          <cell r="X705">
            <v>11.37</v>
          </cell>
          <cell r="Y705">
            <v>7958.8367999999991</v>
          </cell>
        </row>
        <row r="706">
          <cell r="A706" t="str">
            <v>6103-1</v>
          </cell>
          <cell r="B706">
            <v>42308</v>
          </cell>
          <cell r="C706" t="str">
            <v>2015</v>
          </cell>
          <cell r="D706" t="str">
            <v>Tamara Manning</v>
          </cell>
          <cell r="E706" t="str">
            <v>184 King Street,Newtown</v>
          </cell>
          <cell r="F706" t="str">
            <v>Sydney</v>
          </cell>
          <cell r="G706" t="str">
            <v>NSW</v>
          </cell>
          <cell r="H706" t="str">
            <v>Corporate</v>
          </cell>
          <cell r="I706" t="str">
            <v>Charlie Bui</v>
          </cell>
          <cell r="J706" t="str">
            <v>High</v>
          </cell>
          <cell r="K706" t="str">
            <v>UGen Ultra Professional Cordless Optical Suite</v>
          </cell>
          <cell r="L706" t="str">
            <v>Technology</v>
          </cell>
          <cell r="M706" t="str">
            <v>Small Box</v>
          </cell>
          <cell r="N706" t="str">
            <v>Regular Air</v>
          </cell>
          <cell r="O706">
            <v>42309</v>
          </cell>
          <cell r="P706">
            <v>156.5</v>
          </cell>
          <cell r="Q706">
            <v>300.97000000000003</v>
          </cell>
          <cell r="R706">
            <v>144.47000000000003</v>
          </cell>
          <cell r="S706">
            <v>23</v>
          </cell>
          <cell r="T706">
            <v>6922.31</v>
          </cell>
          <cell r="V706">
            <v>415.33859999999999</v>
          </cell>
          <cell r="W706">
            <v>6506.9714000000004</v>
          </cell>
          <cell r="X706">
            <v>7.18</v>
          </cell>
          <cell r="Y706">
            <v>6514.1514000000006</v>
          </cell>
        </row>
        <row r="707">
          <cell r="A707" t="str">
            <v>6104-1</v>
          </cell>
          <cell r="B707">
            <v>42309</v>
          </cell>
          <cell r="C707" t="str">
            <v>2015</v>
          </cell>
          <cell r="D707" t="str">
            <v>Bobby Trafton</v>
          </cell>
          <cell r="E707" t="str">
            <v>8/2 Edward Street, Perth</v>
          </cell>
          <cell r="F707" t="str">
            <v>Sydney</v>
          </cell>
          <cell r="G707" t="str">
            <v>NSW</v>
          </cell>
          <cell r="H707" t="str">
            <v>Small Business</v>
          </cell>
          <cell r="I707" t="str">
            <v>Mihael Khan</v>
          </cell>
          <cell r="J707" t="str">
            <v>Low</v>
          </cell>
          <cell r="K707" t="str">
            <v>DrawIt Pizazz Watercolor Pencils, 10-Color Set with Brush</v>
          </cell>
          <cell r="L707" t="str">
            <v>Office Supplies</v>
          </cell>
          <cell r="M707" t="str">
            <v>Wrap Bag</v>
          </cell>
          <cell r="N707" t="str">
            <v>Regular Air</v>
          </cell>
          <cell r="O707">
            <v>42311</v>
          </cell>
          <cell r="P707">
            <v>2.39</v>
          </cell>
          <cell r="Q707">
            <v>4.26</v>
          </cell>
          <cell r="R707">
            <v>1.8699999999999997</v>
          </cell>
          <cell r="S707">
            <v>47</v>
          </cell>
          <cell r="T707">
            <v>200.22</v>
          </cell>
          <cell r="V707">
            <v>14.015400000000001</v>
          </cell>
          <cell r="W707">
            <v>186.2046</v>
          </cell>
          <cell r="X707">
            <v>1.2</v>
          </cell>
          <cell r="Y707">
            <v>187.40459999999999</v>
          </cell>
        </row>
        <row r="708">
          <cell r="A708" t="str">
            <v>6104-2</v>
          </cell>
          <cell r="B708">
            <v>42309</v>
          </cell>
          <cell r="C708" t="str">
            <v>2015</v>
          </cell>
          <cell r="D708" t="str">
            <v>Bobby Trafton</v>
          </cell>
          <cell r="E708" t="str">
            <v>8/2 Edward Street, Perth</v>
          </cell>
          <cell r="F708" t="str">
            <v>Sydney</v>
          </cell>
          <cell r="G708" t="str">
            <v>NSW</v>
          </cell>
          <cell r="H708" t="str">
            <v>Small Business</v>
          </cell>
          <cell r="I708" t="str">
            <v>Mihael Khan</v>
          </cell>
          <cell r="J708" t="str">
            <v>Low</v>
          </cell>
          <cell r="K708" t="str">
            <v>Steady Colorific Colored Pencils, 12/Box</v>
          </cell>
          <cell r="L708" t="str">
            <v>Office Supplies</v>
          </cell>
          <cell r="M708" t="str">
            <v>Wrap Bag</v>
          </cell>
          <cell r="N708" t="str">
            <v>Regular Air</v>
          </cell>
          <cell r="O708">
            <v>42314</v>
          </cell>
          <cell r="P708">
            <v>1.3</v>
          </cell>
          <cell r="Q708">
            <v>2.88</v>
          </cell>
          <cell r="R708">
            <v>1.5799999999999998</v>
          </cell>
          <cell r="S708">
            <v>17</v>
          </cell>
          <cell r="T708">
            <v>48.96</v>
          </cell>
          <cell r="V708">
            <v>4.4063999999999997</v>
          </cell>
          <cell r="W708">
            <v>44.553600000000003</v>
          </cell>
          <cell r="X708">
            <v>1.01</v>
          </cell>
          <cell r="Y708">
            <v>45.563600000000001</v>
          </cell>
        </row>
        <row r="709">
          <cell r="A709" t="str">
            <v>6108-1</v>
          </cell>
          <cell r="B709">
            <v>42314</v>
          </cell>
          <cell r="C709" t="str">
            <v>2015</v>
          </cell>
          <cell r="D709" t="str">
            <v>Vivek Grady</v>
          </cell>
          <cell r="E709" t="str">
            <v>99 Lygon Street,East Brunswick</v>
          </cell>
          <cell r="F709" t="str">
            <v>Melbourne</v>
          </cell>
          <cell r="G709" t="str">
            <v>VIC</v>
          </cell>
          <cell r="H709" t="str">
            <v>Corporate</v>
          </cell>
          <cell r="I709" t="str">
            <v>Connor Betts</v>
          </cell>
          <cell r="J709" t="str">
            <v>High</v>
          </cell>
          <cell r="K709" t="str">
            <v>TechSavi Cordless Access Keyboard</v>
          </cell>
          <cell r="L709" t="str">
            <v>Technology</v>
          </cell>
          <cell r="M709" t="str">
            <v>Small Box</v>
          </cell>
          <cell r="N709" t="str">
            <v>Express Air</v>
          </cell>
          <cell r="O709">
            <v>42314</v>
          </cell>
          <cell r="P709">
            <v>14.7</v>
          </cell>
          <cell r="Q709">
            <v>29.99</v>
          </cell>
          <cell r="R709">
            <v>15.29</v>
          </cell>
          <cell r="S709">
            <v>20</v>
          </cell>
          <cell r="T709">
            <v>599.79999999999995</v>
          </cell>
          <cell r="V709">
            <v>23.991999999999997</v>
          </cell>
          <cell r="W709">
            <v>575.80799999999999</v>
          </cell>
          <cell r="X709">
            <v>5.5</v>
          </cell>
          <cell r="Y709">
            <v>581.30799999999999</v>
          </cell>
        </row>
        <row r="710">
          <cell r="A710" t="str">
            <v>6109-1</v>
          </cell>
          <cell r="B710">
            <v>42314</v>
          </cell>
          <cell r="C710" t="str">
            <v>2015</v>
          </cell>
          <cell r="D710" t="str">
            <v>Mitch Gastineau</v>
          </cell>
          <cell r="E710" t="str">
            <v>85-113 Dunning Ave,Rosebery</v>
          </cell>
          <cell r="F710" t="str">
            <v>Sydney</v>
          </cell>
          <cell r="G710" t="str">
            <v>NSW</v>
          </cell>
          <cell r="H710" t="str">
            <v>Small Business</v>
          </cell>
          <cell r="I710" t="str">
            <v>Mihael Khan</v>
          </cell>
          <cell r="J710" t="str">
            <v>Low</v>
          </cell>
          <cell r="K710" t="str">
            <v>TypeRight Side-Opening Peel &amp; Seel Expanding Envelopes</v>
          </cell>
          <cell r="L710" t="str">
            <v>Office Supplies</v>
          </cell>
          <cell r="M710" t="str">
            <v>Small Box</v>
          </cell>
          <cell r="N710" t="str">
            <v>Regular Air</v>
          </cell>
          <cell r="O710">
            <v>42321</v>
          </cell>
          <cell r="P710">
            <v>54.29</v>
          </cell>
          <cell r="Q710">
            <v>90.48</v>
          </cell>
          <cell r="R710">
            <v>36.190000000000005</v>
          </cell>
          <cell r="S710">
            <v>49</v>
          </cell>
          <cell r="T710">
            <v>4433.5200000000004</v>
          </cell>
          <cell r="V710">
            <v>221.67600000000004</v>
          </cell>
          <cell r="W710">
            <v>4211.8440000000001</v>
          </cell>
          <cell r="X710">
            <v>19.989999999999998</v>
          </cell>
          <cell r="Y710">
            <v>4231.8339999999998</v>
          </cell>
        </row>
        <row r="711">
          <cell r="A711" t="str">
            <v>6110-1</v>
          </cell>
          <cell r="B711">
            <v>42315</v>
          </cell>
          <cell r="C711" t="str">
            <v>2015</v>
          </cell>
          <cell r="D711" t="str">
            <v>Cindy Schnelling</v>
          </cell>
          <cell r="E711" t="str">
            <v>240-242 Johnston Street,Fitzroy</v>
          </cell>
          <cell r="F711" t="str">
            <v>Melbourne</v>
          </cell>
          <cell r="G711" t="str">
            <v>VIC</v>
          </cell>
          <cell r="H711" t="str">
            <v>Corporate</v>
          </cell>
          <cell r="I711" t="str">
            <v>Connor Betts</v>
          </cell>
          <cell r="J711" t="str">
            <v>Critical</v>
          </cell>
          <cell r="K711" t="str">
            <v>Steady Liquid Accent Highlighters</v>
          </cell>
          <cell r="L711" t="str">
            <v>Office Supplies</v>
          </cell>
          <cell r="M711" t="str">
            <v>Wrap Bag</v>
          </cell>
          <cell r="N711" t="str">
            <v>Regular Air</v>
          </cell>
          <cell r="O711">
            <v>42316</v>
          </cell>
          <cell r="P711">
            <v>3.47</v>
          </cell>
          <cell r="Q711">
            <v>6.68</v>
          </cell>
          <cell r="R711">
            <v>3.2099999999999995</v>
          </cell>
          <cell r="S711">
            <v>12</v>
          </cell>
          <cell r="T711">
            <v>80.16</v>
          </cell>
          <cell r="V711">
            <v>4.8095999999999997</v>
          </cell>
          <cell r="W711">
            <v>75.350399999999993</v>
          </cell>
          <cell r="X711">
            <v>1.5</v>
          </cell>
          <cell r="Y711">
            <v>76.850399999999993</v>
          </cell>
        </row>
        <row r="712">
          <cell r="A712" t="str">
            <v>6112-1</v>
          </cell>
          <cell r="B712">
            <v>42318</v>
          </cell>
          <cell r="C712" t="str">
            <v>2015</v>
          </cell>
          <cell r="D712" t="str">
            <v>Peter Fuller</v>
          </cell>
          <cell r="E712" t="str">
            <v>Westfield Miranda, 600 Kingsway,Miranda</v>
          </cell>
          <cell r="F712" t="str">
            <v>Sydney</v>
          </cell>
          <cell r="G712" t="str">
            <v>NSW</v>
          </cell>
          <cell r="H712" t="str">
            <v>Corporate</v>
          </cell>
          <cell r="I712" t="str">
            <v>Preston Senome</v>
          </cell>
          <cell r="J712" t="str">
            <v>Low</v>
          </cell>
          <cell r="K712" t="str">
            <v>Binder Clips by OIC</v>
          </cell>
          <cell r="L712" t="str">
            <v>Office Supplies</v>
          </cell>
          <cell r="M712" t="str">
            <v>Wrap Bag</v>
          </cell>
          <cell r="N712" t="str">
            <v>Regular Air</v>
          </cell>
          <cell r="O712">
            <v>42322</v>
          </cell>
          <cell r="P712">
            <v>0.93</v>
          </cell>
          <cell r="Q712">
            <v>1.48</v>
          </cell>
          <cell r="R712">
            <v>0.54999999999999993</v>
          </cell>
          <cell r="S712">
            <v>19</v>
          </cell>
          <cell r="T712">
            <v>28.12</v>
          </cell>
          <cell r="V712">
            <v>0</v>
          </cell>
          <cell r="W712">
            <v>28.12</v>
          </cell>
          <cell r="X712">
            <v>0.7</v>
          </cell>
          <cell r="Y712">
            <v>28.82</v>
          </cell>
        </row>
        <row r="713">
          <cell r="A713" t="str">
            <v>6113-1</v>
          </cell>
          <cell r="B713">
            <v>42318</v>
          </cell>
          <cell r="C713" t="str">
            <v>2015</v>
          </cell>
          <cell r="D713" t="str">
            <v>Chuck Clark</v>
          </cell>
          <cell r="E713" t="str">
            <v>101 Murray Street</v>
          </cell>
          <cell r="F713" t="str">
            <v>Perth</v>
          </cell>
          <cell r="G713" t="str">
            <v>WA</v>
          </cell>
          <cell r="H713" t="str">
            <v>Corporate</v>
          </cell>
          <cell r="I713" t="str">
            <v>Tina Carlton</v>
          </cell>
          <cell r="J713" t="str">
            <v>Medium</v>
          </cell>
          <cell r="K713" t="str">
            <v>Smiths File Caddy</v>
          </cell>
          <cell r="L713" t="str">
            <v>Office Supplies</v>
          </cell>
          <cell r="M713" t="str">
            <v>Small Box</v>
          </cell>
          <cell r="N713" t="str">
            <v>Regular Air</v>
          </cell>
          <cell r="O713">
            <v>42318</v>
          </cell>
          <cell r="P713">
            <v>4.03</v>
          </cell>
          <cell r="Q713">
            <v>9.3800000000000008</v>
          </cell>
          <cell r="R713">
            <v>5.3500000000000005</v>
          </cell>
          <cell r="S713">
            <v>24</v>
          </cell>
          <cell r="T713">
            <v>225.12</v>
          </cell>
          <cell r="V713">
            <v>11.256</v>
          </cell>
          <cell r="W713">
            <v>213.864</v>
          </cell>
          <cell r="X713">
            <v>7.28</v>
          </cell>
          <cell r="Y713">
            <v>221.14400000000001</v>
          </cell>
        </row>
        <row r="714">
          <cell r="A714" t="str">
            <v>6114-1</v>
          </cell>
          <cell r="B714">
            <v>42319</v>
          </cell>
          <cell r="C714" t="str">
            <v>2015</v>
          </cell>
          <cell r="D714" t="str">
            <v>Nora Price</v>
          </cell>
          <cell r="E714" t="str">
            <v>7 Khartoum Rd,Macquarie Park</v>
          </cell>
          <cell r="F714" t="str">
            <v>Sydney</v>
          </cell>
          <cell r="G714" t="str">
            <v>NSW</v>
          </cell>
          <cell r="H714" t="str">
            <v>Home Office</v>
          </cell>
          <cell r="I714" t="str">
            <v>Preston Senome</v>
          </cell>
          <cell r="J714" t="str">
            <v>High</v>
          </cell>
          <cell r="K714" t="str">
            <v>Artisan 479 Labels</v>
          </cell>
          <cell r="L714" t="str">
            <v>Office Supplies</v>
          </cell>
          <cell r="M714" t="str">
            <v>Small Box</v>
          </cell>
          <cell r="N714" t="str">
            <v>Regular Air</v>
          </cell>
          <cell r="O714">
            <v>42321</v>
          </cell>
          <cell r="P714">
            <v>1.59</v>
          </cell>
          <cell r="Q714">
            <v>2.61</v>
          </cell>
          <cell r="R714">
            <v>1.0199999999999998</v>
          </cell>
          <cell r="S714">
            <v>40</v>
          </cell>
          <cell r="T714">
            <v>104.39999999999999</v>
          </cell>
          <cell r="V714">
            <v>3.1319999999999997</v>
          </cell>
          <cell r="W714">
            <v>101.26799999999999</v>
          </cell>
          <cell r="X714">
            <v>0.5</v>
          </cell>
          <cell r="Y714">
            <v>101.76799999999999</v>
          </cell>
        </row>
        <row r="715">
          <cell r="A715" t="str">
            <v>6116-1</v>
          </cell>
          <cell r="B715">
            <v>42320</v>
          </cell>
          <cell r="C715" t="str">
            <v>2015</v>
          </cell>
          <cell r="D715" t="str">
            <v>Michael Oakman</v>
          </cell>
          <cell r="E715" t="str">
            <v>8 Rankins Lane ,Melbourne</v>
          </cell>
          <cell r="F715" t="str">
            <v>Melbourne</v>
          </cell>
          <cell r="G715" t="str">
            <v>VIC</v>
          </cell>
          <cell r="H715" t="str">
            <v>Small Business</v>
          </cell>
          <cell r="I715" t="str">
            <v>Connor Betts</v>
          </cell>
          <cell r="J715" t="str">
            <v>Not Specified</v>
          </cell>
          <cell r="K715" t="str">
            <v>Apex Box Cutter Scissors</v>
          </cell>
          <cell r="L715" t="str">
            <v>Office Supplies</v>
          </cell>
          <cell r="M715" t="str">
            <v>Small Pack</v>
          </cell>
          <cell r="N715" t="str">
            <v>Regular Air</v>
          </cell>
          <cell r="O715">
            <v>42322</v>
          </cell>
          <cell r="P715">
            <v>4.1900000000000004</v>
          </cell>
          <cell r="Q715">
            <v>10.23</v>
          </cell>
          <cell r="R715">
            <v>6.04</v>
          </cell>
          <cell r="S715">
            <v>46</v>
          </cell>
          <cell r="T715">
            <v>470.58000000000004</v>
          </cell>
          <cell r="V715">
            <v>37.646400000000007</v>
          </cell>
          <cell r="W715">
            <v>432.93360000000001</v>
          </cell>
          <cell r="X715">
            <v>4.68</v>
          </cell>
          <cell r="Y715">
            <v>437.61360000000002</v>
          </cell>
        </row>
        <row r="716">
          <cell r="A716" t="str">
            <v>6118-1</v>
          </cell>
          <cell r="B716">
            <v>42323</v>
          </cell>
          <cell r="C716" t="str">
            <v>2015</v>
          </cell>
          <cell r="D716" t="str">
            <v>Alan Hwang</v>
          </cell>
          <cell r="E716" t="str">
            <v>223 Barkly St,St Kilda</v>
          </cell>
          <cell r="F716" t="str">
            <v>Melbourne</v>
          </cell>
          <cell r="G716" t="str">
            <v>VIC</v>
          </cell>
          <cell r="H716" t="str">
            <v>Corporate</v>
          </cell>
          <cell r="I716" t="str">
            <v>Yvette Biti</v>
          </cell>
          <cell r="J716" t="str">
            <v>Low</v>
          </cell>
          <cell r="K716" t="str">
            <v>Smiths Bulk Pack Metal Binder Clips</v>
          </cell>
          <cell r="L716" t="str">
            <v>Office Supplies</v>
          </cell>
          <cell r="M716" t="str">
            <v>Wrap Bag</v>
          </cell>
          <cell r="N716" t="str">
            <v>Regular Air</v>
          </cell>
          <cell r="O716">
            <v>42332</v>
          </cell>
          <cell r="P716">
            <v>3.95</v>
          </cell>
          <cell r="Q716">
            <v>6.08</v>
          </cell>
          <cell r="R716">
            <v>2.13</v>
          </cell>
          <cell r="S716">
            <v>41</v>
          </cell>
          <cell r="T716">
            <v>249.28</v>
          </cell>
          <cell r="V716">
            <v>7.4783999999999997</v>
          </cell>
          <cell r="W716">
            <v>241.80160000000001</v>
          </cell>
          <cell r="X716">
            <v>1.82</v>
          </cell>
          <cell r="Y716">
            <v>243.6216</v>
          </cell>
        </row>
        <row r="717">
          <cell r="A717" t="str">
            <v>6119-1</v>
          </cell>
          <cell r="B717">
            <v>42324</v>
          </cell>
          <cell r="C717" t="str">
            <v>2015</v>
          </cell>
          <cell r="D717" t="str">
            <v>Jenna Caffey</v>
          </cell>
          <cell r="E717" t="str">
            <v>470 Anzac Parade,Kingsford</v>
          </cell>
          <cell r="F717" t="str">
            <v>Sydney</v>
          </cell>
          <cell r="G717" t="str">
            <v>NSW</v>
          </cell>
          <cell r="H717" t="str">
            <v>Consumer</v>
          </cell>
          <cell r="I717" t="str">
            <v>Tina Carlton</v>
          </cell>
          <cell r="J717" t="str">
            <v>Critical</v>
          </cell>
          <cell r="K717" t="str">
            <v>Smiths Pen Style Liquid Stix; Assorted (yellow, pink, green, blue, orange), 5/Pack</v>
          </cell>
          <cell r="L717" t="str">
            <v>Office Supplies</v>
          </cell>
          <cell r="M717" t="str">
            <v>Wrap Bag</v>
          </cell>
          <cell r="N717" t="str">
            <v>Regular Air</v>
          </cell>
          <cell r="O717">
            <v>42325</v>
          </cell>
          <cell r="P717">
            <v>3.88</v>
          </cell>
          <cell r="Q717">
            <v>6.47</v>
          </cell>
          <cell r="R717">
            <v>2.59</v>
          </cell>
          <cell r="S717">
            <v>22</v>
          </cell>
          <cell r="T717">
            <v>142.34</v>
          </cell>
          <cell r="V717">
            <v>5.6936</v>
          </cell>
          <cell r="W717">
            <v>136.6464</v>
          </cell>
          <cell r="X717">
            <v>1.22</v>
          </cell>
          <cell r="Y717">
            <v>137.8664</v>
          </cell>
        </row>
        <row r="718">
          <cell r="A718" t="str">
            <v>6121-1</v>
          </cell>
          <cell r="B718">
            <v>42325</v>
          </cell>
          <cell r="C718" t="str">
            <v>2015</v>
          </cell>
          <cell r="D718" t="str">
            <v>Beth Fritzler</v>
          </cell>
          <cell r="E718" t="str">
            <v>32/82 King Street, Perth</v>
          </cell>
          <cell r="F718" t="str">
            <v>Sydney</v>
          </cell>
          <cell r="G718" t="str">
            <v>NSW</v>
          </cell>
          <cell r="H718" t="str">
            <v>Small Business</v>
          </cell>
          <cell r="I718" t="str">
            <v>Phoebe Gour</v>
          </cell>
          <cell r="J718" t="str">
            <v>Critical</v>
          </cell>
          <cell r="K718" t="str">
            <v>Apex Box Cutter Scissors</v>
          </cell>
          <cell r="L718" t="str">
            <v>Office Supplies</v>
          </cell>
          <cell r="M718" t="str">
            <v>Small Pack</v>
          </cell>
          <cell r="N718" t="str">
            <v>Regular Air</v>
          </cell>
          <cell r="O718">
            <v>42327</v>
          </cell>
          <cell r="P718">
            <v>4.1900000000000004</v>
          </cell>
          <cell r="Q718">
            <v>10.23</v>
          </cell>
          <cell r="R718">
            <v>6.04</v>
          </cell>
          <cell r="S718">
            <v>16</v>
          </cell>
          <cell r="T718">
            <v>163.68</v>
          </cell>
          <cell r="V718">
            <v>3.2736000000000001</v>
          </cell>
          <cell r="W718">
            <v>160.40640000000002</v>
          </cell>
          <cell r="X718">
            <v>4.68</v>
          </cell>
          <cell r="Y718">
            <v>165.08640000000003</v>
          </cell>
        </row>
        <row r="719">
          <cell r="A719" t="str">
            <v>6123-1</v>
          </cell>
          <cell r="B719">
            <v>42325</v>
          </cell>
          <cell r="C719" t="str">
            <v>2015</v>
          </cell>
          <cell r="D719" t="str">
            <v>Shahid Hopkins</v>
          </cell>
          <cell r="E719" t="str">
            <v>438 Victoria Avenue,Chatswood</v>
          </cell>
          <cell r="F719" t="str">
            <v>Sydney</v>
          </cell>
          <cell r="G719" t="str">
            <v>NSW</v>
          </cell>
          <cell r="H719" t="str">
            <v>Small Business</v>
          </cell>
          <cell r="I719" t="str">
            <v>Natasha Song</v>
          </cell>
          <cell r="J719" t="str">
            <v>Low</v>
          </cell>
          <cell r="K719" t="str">
            <v>Beekin 6 Outlet Metallic Surge Strip</v>
          </cell>
          <cell r="L719" t="str">
            <v>Office Supplies</v>
          </cell>
          <cell r="M719" t="str">
            <v>Small Box</v>
          </cell>
          <cell r="N719" t="str">
            <v>Regular Air</v>
          </cell>
          <cell r="O719">
            <v>42332</v>
          </cell>
          <cell r="P719">
            <v>4.46</v>
          </cell>
          <cell r="Q719">
            <v>10.89</v>
          </cell>
          <cell r="R719">
            <v>6.4300000000000006</v>
          </cell>
          <cell r="S719">
            <v>10</v>
          </cell>
          <cell r="T719">
            <v>108.9</v>
          </cell>
          <cell r="V719">
            <v>10.89</v>
          </cell>
          <cell r="W719">
            <v>98.01</v>
          </cell>
          <cell r="X719">
            <v>4.5</v>
          </cell>
          <cell r="Y719">
            <v>102.51</v>
          </cell>
        </row>
        <row r="720">
          <cell r="A720" t="str">
            <v>6124-1</v>
          </cell>
          <cell r="B720">
            <v>42328</v>
          </cell>
          <cell r="C720" t="str">
            <v>2015</v>
          </cell>
          <cell r="D720" t="str">
            <v>Lycoris Saunders</v>
          </cell>
          <cell r="E720" t="str">
            <v>501 George St,Sydney</v>
          </cell>
          <cell r="F720" t="str">
            <v>Sydney</v>
          </cell>
          <cell r="G720" t="str">
            <v>NSW</v>
          </cell>
          <cell r="H720" t="str">
            <v>Home Office</v>
          </cell>
          <cell r="I720" t="str">
            <v>Samantha Chairs</v>
          </cell>
          <cell r="J720" t="str">
            <v>High</v>
          </cell>
          <cell r="K720" t="str">
            <v>Artisan 481 Labels</v>
          </cell>
          <cell r="L720" t="str">
            <v>Office Supplies</v>
          </cell>
          <cell r="M720" t="str">
            <v>Small Box</v>
          </cell>
          <cell r="N720" t="str">
            <v>Regular Air</v>
          </cell>
          <cell r="O720">
            <v>42330</v>
          </cell>
          <cell r="P720">
            <v>1.94</v>
          </cell>
          <cell r="Q720">
            <v>3.08</v>
          </cell>
          <cell r="R720">
            <v>1.1400000000000001</v>
          </cell>
          <cell r="S720">
            <v>11</v>
          </cell>
          <cell r="T720">
            <v>33.880000000000003</v>
          </cell>
          <cell r="V720">
            <v>3.0491999999999999</v>
          </cell>
          <cell r="W720">
            <v>30.830800000000004</v>
          </cell>
          <cell r="X720">
            <v>0.99</v>
          </cell>
          <cell r="Y720">
            <v>31.820800000000002</v>
          </cell>
        </row>
        <row r="721">
          <cell r="A721" t="str">
            <v>6125-1</v>
          </cell>
          <cell r="B721">
            <v>42330</v>
          </cell>
          <cell r="C721" t="str">
            <v>2015</v>
          </cell>
          <cell r="D721" t="str">
            <v>Ellis Ballard</v>
          </cell>
          <cell r="E721" t="str">
            <v>53-55 Liverpool St,Sydney</v>
          </cell>
          <cell r="F721" t="str">
            <v>Sydney</v>
          </cell>
          <cell r="G721" t="str">
            <v>NSW</v>
          </cell>
          <cell r="H721" t="str">
            <v>Corporate</v>
          </cell>
          <cell r="I721" t="str">
            <v>Tina Carlton</v>
          </cell>
          <cell r="J721" t="str">
            <v>Medium</v>
          </cell>
          <cell r="K721" t="str">
            <v>Pizazz Drawing Pencil Set</v>
          </cell>
          <cell r="L721" t="str">
            <v>Office Supplies</v>
          </cell>
          <cell r="M721" t="str">
            <v>Wrap Bag</v>
          </cell>
          <cell r="N721" t="str">
            <v>Regular Air</v>
          </cell>
          <cell r="O721">
            <v>42331</v>
          </cell>
          <cell r="P721">
            <v>1.53</v>
          </cell>
          <cell r="Q721">
            <v>2.78</v>
          </cell>
          <cell r="R721">
            <v>1.2499999999999998</v>
          </cell>
          <cell r="S721">
            <v>21</v>
          </cell>
          <cell r="T721">
            <v>58.379999999999995</v>
          </cell>
          <cell r="V721">
            <v>3.5027999999999997</v>
          </cell>
          <cell r="W721">
            <v>54.877199999999995</v>
          </cell>
          <cell r="X721">
            <v>1.34</v>
          </cell>
          <cell r="Y721">
            <v>56.217199999999998</v>
          </cell>
        </row>
        <row r="722">
          <cell r="A722" t="str">
            <v>6127-1</v>
          </cell>
          <cell r="B722">
            <v>42332</v>
          </cell>
          <cell r="C722" t="str">
            <v>2015</v>
          </cell>
          <cell r="D722" t="str">
            <v>Henry Goldwyn</v>
          </cell>
          <cell r="E722" t="str">
            <v>541 Church St,Richmond</v>
          </cell>
          <cell r="F722" t="str">
            <v>Melbourne</v>
          </cell>
          <cell r="G722" t="str">
            <v>VIC</v>
          </cell>
          <cell r="H722" t="str">
            <v>Small Business</v>
          </cell>
          <cell r="I722" t="str">
            <v>Yvette Biti</v>
          </cell>
          <cell r="J722" t="str">
            <v>Low</v>
          </cell>
          <cell r="K722" t="str">
            <v>Adesso Programmable 142-Key Keyboard</v>
          </cell>
          <cell r="L722" t="str">
            <v>Technology</v>
          </cell>
          <cell r="M722" t="str">
            <v>Small Box</v>
          </cell>
          <cell r="N722" t="str">
            <v>Regular Air</v>
          </cell>
          <cell r="O722">
            <v>42332</v>
          </cell>
          <cell r="P722">
            <v>39.64</v>
          </cell>
          <cell r="Q722">
            <v>152.47999999999999</v>
          </cell>
          <cell r="R722">
            <v>112.83999999999999</v>
          </cell>
          <cell r="S722">
            <v>17</v>
          </cell>
          <cell r="T722">
            <v>2592.16</v>
          </cell>
          <cell r="V722">
            <v>103.68639999999999</v>
          </cell>
          <cell r="W722">
            <v>2488.4735999999998</v>
          </cell>
          <cell r="X722">
            <v>6.5</v>
          </cell>
          <cell r="Y722">
            <v>2494.9735999999998</v>
          </cell>
        </row>
        <row r="723">
          <cell r="A723" t="str">
            <v>6128-1</v>
          </cell>
          <cell r="B723">
            <v>42336</v>
          </cell>
          <cell r="C723" t="str">
            <v>2015</v>
          </cell>
          <cell r="D723" t="str">
            <v>Dennis Bolton</v>
          </cell>
          <cell r="E723" t="str">
            <v>8 Quay Street,Haymarket</v>
          </cell>
          <cell r="F723" t="str">
            <v>Sydney</v>
          </cell>
          <cell r="G723" t="str">
            <v>NSW</v>
          </cell>
          <cell r="H723" t="str">
            <v>Small Business</v>
          </cell>
          <cell r="I723" t="str">
            <v>Leighton Forrest</v>
          </cell>
          <cell r="J723" t="str">
            <v>Critical</v>
          </cell>
          <cell r="K723" t="str">
            <v>Smiths Pen Style Liquid Stix; Assorted (yellow, pink, green, blue, orange), 5/Pack</v>
          </cell>
          <cell r="L723" t="str">
            <v>Office Supplies</v>
          </cell>
          <cell r="M723" t="str">
            <v>Wrap Bag</v>
          </cell>
          <cell r="N723" t="str">
            <v>Regular Air</v>
          </cell>
          <cell r="O723">
            <v>42338</v>
          </cell>
          <cell r="P723">
            <v>3.88</v>
          </cell>
          <cell r="Q723">
            <v>6.47</v>
          </cell>
          <cell r="R723">
            <v>2.59</v>
          </cell>
          <cell r="S723">
            <v>16</v>
          </cell>
          <cell r="T723">
            <v>103.52</v>
          </cell>
          <cell r="V723">
            <v>1.0351999999999999</v>
          </cell>
          <cell r="W723">
            <v>102.48479999999999</v>
          </cell>
          <cell r="X723">
            <v>1.22</v>
          </cell>
          <cell r="Y723">
            <v>103.70479999999999</v>
          </cell>
        </row>
        <row r="724">
          <cell r="A724" t="str">
            <v>6130-1</v>
          </cell>
          <cell r="B724">
            <v>42338</v>
          </cell>
          <cell r="C724" t="str">
            <v>2015</v>
          </cell>
          <cell r="D724" t="str">
            <v>Paul MacIntyre</v>
          </cell>
          <cell r="E724" t="str">
            <v>60 Commercial Rd,Prahran</v>
          </cell>
          <cell r="F724" t="str">
            <v>Melbourne</v>
          </cell>
          <cell r="G724" t="str">
            <v>VIC</v>
          </cell>
          <cell r="H724" t="str">
            <v>Corporate</v>
          </cell>
          <cell r="I724" t="str">
            <v>Yvette Biti</v>
          </cell>
          <cell r="J724" t="str">
            <v>High</v>
          </cell>
          <cell r="K724" t="str">
            <v>Artisan Arch Ring Binders</v>
          </cell>
          <cell r="L724" t="str">
            <v>Office Supplies</v>
          </cell>
          <cell r="M724" t="str">
            <v>Small Box</v>
          </cell>
          <cell r="N724" t="str">
            <v>Regular Air</v>
          </cell>
          <cell r="O724">
            <v>42339</v>
          </cell>
          <cell r="P724">
            <v>36.020000000000003</v>
          </cell>
          <cell r="Q724">
            <v>58.1</v>
          </cell>
          <cell r="R724">
            <v>22.08</v>
          </cell>
          <cell r="S724">
            <v>27</v>
          </cell>
          <cell r="T724">
            <v>1568.7</v>
          </cell>
          <cell r="V724">
            <v>109.80900000000001</v>
          </cell>
          <cell r="W724">
            <v>1458.8910000000001</v>
          </cell>
          <cell r="X724">
            <v>1.49</v>
          </cell>
          <cell r="Y724">
            <v>1460.3810000000001</v>
          </cell>
        </row>
        <row r="725">
          <cell r="A725" t="str">
            <v>6132-1</v>
          </cell>
          <cell r="B725">
            <v>42338</v>
          </cell>
          <cell r="C725" t="str">
            <v>2015</v>
          </cell>
          <cell r="D725" t="str">
            <v>Julie Creighton</v>
          </cell>
          <cell r="E725" t="str">
            <v>22 Civic Rd,Auburn</v>
          </cell>
          <cell r="F725" t="str">
            <v>Sydney</v>
          </cell>
          <cell r="G725" t="str">
            <v>NSW</v>
          </cell>
          <cell r="H725" t="str">
            <v>Corporate</v>
          </cell>
          <cell r="I725" t="str">
            <v>Mihael Khan</v>
          </cell>
          <cell r="J725" t="str">
            <v>Not Specified</v>
          </cell>
          <cell r="K725" t="str">
            <v>DrawIt Colored Pencils</v>
          </cell>
          <cell r="L725" t="str">
            <v>Office Supplies</v>
          </cell>
          <cell r="M725" t="str">
            <v>Wrap Bag</v>
          </cell>
          <cell r="N725" t="str">
            <v>Regular Air</v>
          </cell>
          <cell r="O725">
            <v>42339</v>
          </cell>
          <cell r="P725">
            <v>4.37</v>
          </cell>
          <cell r="Q725">
            <v>9.11</v>
          </cell>
          <cell r="R725">
            <v>4.7399999999999993</v>
          </cell>
          <cell r="S725">
            <v>30</v>
          </cell>
          <cell r="T725">
            <v>273.29999999999995</v>
          </cell>
          <cell r="V725">
            <v>8.1989999999999981</v>
          </cell>
          <cell r="W725">
            <v>265.10099999999994</v>
          </cell>
          <cell r="X725">
            <v>2.25</v>
          </cell>
          <cell r="Y725">
            <v>267.35099999999994</v>
          </cell>
        </row>
        <row r="726">
          <cell r="A726" t="str">
            <v>6134-1</v>
          </cell>
          <cell r="B726">
            <v>42342</v>
          </cell>
          <cell r="C726" t="str">
            <v>2015</v>
          </cell>
          <cell r="D726" t="str">
            <v>Lindsay Castell</v>
          </cell>
          <cell r="E726" t="str">
            <v>Qantas Domestic Terminal,Mascot</v>
          </cell>
          <cell r="F726" t="str">
            <v>Sydney</v>
          </cell>
          <cell r="G726" t="str">
            <v>NSW</v>
          </cell>
          <cell r="H726" t="str">
            <v>Small Business</v>
          </cell>
          <cell r="I726" t="str">
            <v>Phoebe Gour</v>
          </cell>
          <cell r="J726" t="str">
            <v>High</v>
          </cell>
          <cell r="K726" t="str">
            <v>Artisan 474 Labels</v>
          </cell>
          <cell r="L726" t="str">
            <v>Office Supplies</v>
          </cell>
          <cell r="M726" t="str">
            <v>Small Box</v>
          </cell>
          <cell r="N726" t="str">
            <v>Regular Air</v>
          </cell>
          <cell r="O726">
            <v>42343</v>
          </cell>
          <cell r="P726">
            <v>1.84</v>
          </cell>
          <cell r="Q726">
            <v>2.88</v>
          </cell>
          <cell r="R726">
            <v>1.0399999999999998</v>
          </cell>
          <cell r="S726">
            <v>28</v>
          </cell>
          <cell r="T726">
            <v>80.64</v>
          </cell>
          <cell r="V726">
            <v>8.0640000000000001</v>
          </cell>
          <cell r="W726">
            <v>72.575999999999993</v>
          </cell>
          <cell r="X726">
            <v>0.99</v>
          </cell>
          <cell r="Y726">
            <v>73.565999999999988</v>
          </cell>
        </row>
        <row r="727">
          <cell r="A727" t="str">
            <v>6135-1</v>
          </cell>
          <cell r="B727">
            <v>42344</v>
          </cell>
          <cell r="C727" t="str">
            <v>2015</v>
          </cell>
          <cell r="D727" t="str">
            <v>Erin Creighton</v>
          </cell>
          <cell r="E727" t="str">
            <v>523 King St,Newtown</v>
          </cell>
          <cell r="F727" t="str">
            <v>Sydney</v>
          </cell>
          <cell r="G727" t="str">
            <v>NSW</v>
          </cell>
          <cell r="H727" t="str">
            <v>Corporate</v>
          </cell>
          <cell r="I727" t="str">
            <v>Aanya Zhang</v>
          </cell>
          <cell r="J727" t="str">
            <v>Low</v>
          </cell>
          <cell r="K727" t="str">
            <v>Pizazz Drawing Pencil Set</v>
          </cell>
          <cell r="L727" t="str">
            <v>Office Supplies</v>
          </cell>
          <cell r="M727" t="str">
            <v>Wrap Bag</v>
          </cell>
          <cell r="N727" t="str">
            <v>Regular Air</v>
          </cell>
          <cell r="O727">
            <v>42346</v>
          </cell>
          <cell r="P727">
            <v>1.17</v>
          </cell>
          <cell r="Q727">
            <v>2.78</v>
          </cell>
          <cell r="R727">
            <v>1.6099999999999999</v>
          </cell>
          <cell r="S727">
            <v>39</v>
          </cell>
          <cell r="T727">
            <v>108.41999999999999</v>
          </cell>
          <cell r="V727">
            <v>5.4209999999999994</v>
          </cell>
          <cell r="W727">
            <v>102.999</v>
          </cell>
          <cell r="X727">
            <v>1.2</v>
          </cell>
          <cell r="Y727">
            <v>104.199</v>
          </cell>
        </row>
        <row r="728">
          <cell r="A728" t="str">
            <v>6136-1</v>
          </cell>
          <cell r="B728">
            <v>42344</v>
          </cell>
          <cell r="C728" t="str">
            <v>2015</v>
          </cell>
          <cell r="D728" t="str">
            <v>Dan Lawera</v>
          </cell>
          <cell r="E728" t="str">
            <v>Macquarie Centre Cnr Herring Road &amp; Waterloo Road,Macquarie Park</v>
          </cell>
          <cell r="F728" t="str">
            <v>Sydney</v>
          </cell>
          <cell r="G728" t="str">
            <v>NSW</v>
          </cell>
          <cell r="H728" t="str">
            <v>Corporate</v>
          </cell>
          <cell r="I728" t="str">
            <v>Nicholas Fernandes</v>
          </cell>
          <cell r="J728" t="str">
            <v>Not Specified</v>
          </cell>
          <cell r="K728" t="str">
            <v>Smiths General Use 3-Ring Binders</v>
          </cell>
          <cell r="L728" t="str">
            <v>Office Supplies</v>
          </cell>
          <cell r="M728" t="str">
            <v>Small Box</v>
          </cell>
          <cell r="N728" t="str">
            <v>Regular Air</v>
          </cell>
          <cell r="O728">
            <v>42345</v>
          </cell>
          <cell r="P728">
            <v>1.18</v>
          </cell>
          <cell r="Q728">
            <v>1.88</v>
          </cell>
          <cell r="R728">
            <v>0.7</v>
          </cell>
          <cell r="S728">
            <v>20</v>
          </cell>
          <cell r="T728">
            <v>37.599999999999994</v>
          </cell>
          <cell r="V728">
            <v>2.6319999999999997</v>
          </cell>
          <cell r="W728">
            <v>34.967999999999996</v>
          </cell>
          <cell r="X728">
            <v>1.49</v>
          </cell>
          <cell r="Y728">
            <v>36.457999999999998</v>
          </cell>
        </row>
        <row r="729">
          <cell r="A729" t="str">
            <v>6138-1</v>
          </cell>
          <cell r="B729">
            <v>42346</v>
          </cell>
          <cell r="C729" t="str">
            <v>2015</v>
          </cell>
          <cell r="D729" t="str">
            <v>Valerie Dominguez</v>
          </cell>
          <cell r="E729" t="str">
            <v>37/59 Brewer Street</v>
          </cell>
          <cell r="F729" t="str">
            <v>Perth</v>
          </cell>
          <cell r="G729" t="str">
            <v>WA</v>
          </cell>
          <cell r="H729" t="str">
            <v>Corporate</v>
          </cell>
          <cell r="I729" t="str">
            <v>Tina Carlton</v>
          </cell>
          <cell r="J729" t="str">
            <v>Low</v>
          </cell>
          <cell r="K729" t="str">
            <v>Smiths Metal Binder Clips</v>
          </cell>
          <cell r="L729" t="str">
            <v>Office Supplies</v>
          </cell>
          <cell r="M729" t="str">
            <v>Wrap Bag</v>
          </cell>
          <cell r="N729" t="str">
            <v>Regular Air</v>
          </cell>
          <cell r="O729">
            <v>42350</v>
          </cell>
          <cell r="P729">
            <v>1.6</v>
          </cell>
          <cell r="Q729">
            <v>2.62</v>
          </cell>
          <cell r="R729">
            <v>1.02</v>
          </cell>
          <cell r="S729">
            <v>26</v>
          </cell>
          <cell r="T729">
            <v>68.12</v>
          </cell>
          <cell r="V729">
            <v>5.4496000000000002</v>
          </cell>
          <cell r="W729">
            <v>62.670400000000001</v>
          </cell>
          <cell r="X729">
            <v>0.8</v>
          </cell>
          <cell r="Y729">
            <v>63.470399999999998</v>
          </cell>
        </row>
        <row r="730">
          <cell r="A730" t="str">
            <v>6140-1</v>
          </cell>
          <cell r="B730">
            <v>42347</v>
          </cell>
          <cell r="C730" t="str">
            <v>2015</v>
          </cell>
          <cell r="D730" t="str">
            <v>Craig Carroll</v>
          </cell>
          <cell r="E730" t="str">
            <v>99 Lygon Street,East Brunswick</v>
          </cell>
          <cell r="F730" t="str">
            <v>Melbourne</v>
          </cell>
          <cell r="G730" t="str">
            <v>VIC</v>
          </cell>
          <cell r="H730" t="str">
            <v>Corporate</v>
          </cell>
          <cell r="I730" t="str">
            <v>Connor Betts</v>
          </cell>
          <cell r="J730" t="str">
            <v>High</v>
          </cell>
          <cell r="K730" t="str">
            <v>12 Colored Short Pencils</v>
          </cell>
          <cell r="L730" t="str">
            <v>Office Supplies</v>
          </cell>
          <cell r="M730" t="str">
            <v>Wrap Bag</v>
          </cell>
          <cell r="N730" t="str">
            <v>Regular Air</v>
          </cell>
          <cell r="O730">
            <v>42347</v>
          </cell>
          <cell r="P730">
            <v>1.0900000000000001</v>
          </cell>
          <cell r="Q730">
            <v>2.6</v>
          </cell>
          <cell r="R730">
            <v>1.51</v>
          </cell>
          <cell r="S730">
            <v>14</v>
          </cell>
          <cell r="T730">
            <v>36.4</v>
          </cell>
          <cell r="V730">
            <v>2.9119999999999999</v>
          </cell>
          <cell r="W730">
            <v>33.488</v>
          </cell>
          <cell r="X730">
            <v>2.4</v>
          </cell>
          <cell r="Y730">
            <v>35.887999999999998</v>
          </cell>
        </row>
        <row r="731">
          <cell r="A731" t="str">
            <v>6141-1</v>
          </cell>
          <cell r="B731">
            <v>42347</v>
          </cell>
          <cell r="C731" t="str">
            <v>2015</v>
          </cell>
          <cell r="D731" t="str">
            <v>Vivek Grady</v>
          </cell>
          <cell r="E731" t="str">
            <v>99 Lygon Street,East Brunswick</v>
          </cell>
          <cell r="F731" t="str">
            <v>Melbourne</v>
          </cell>
          <cell r="G731" t="str">
            <v>VIC</v>
          </cell>
          <cell r="H731" t="str">
            <v>Home Office</v>
          </cell>
          <cell r="I731" t="str">
            <v>Connor Betts</v>
          </cell>
          <cell r="J731" t="str">
            <v>Medium</v>
          </cell>
          <cell r="K731" t="str">
            <v>Alliance Rubber Bands</v>
          </cell>
          <cell r="L731" t="str">
            <v>Office Supplies</v>
          </cell>
          <cell r="M731" t="str">
            <v>Wrap Bag</v>
          </cell>
          <cell r="N731" t="str">
            <v>Express Air</v>
          </cell>
          <cell r="O731">
            <v>42348</v>
          </cell>
          <cell r="P731">
            <v>0.32</v>
          </cell>
          <cell r="Q731">
            <v>1.68</v>
          </cell>
          <cell r="R731">
            <v>1.3599999999999999</v>
          </cell>
          <cell r="S731">
            <v>6</v>
          </cell>
          <cell r="T731">
            <v>10.08</v>
          </cell>
          <cell r="V731">
            <v>0.504</v>
          </cell>
          <cell r="W731">
            <v>9.5760000000000005</v>
          </cell>
          <cell r="X731">
            <v>1.02</v>
          </cell>
          <cell r="Y731">
            <v>10.596</v>
          </cell>
        </row>
        <row r="732">
          <cell r="A732" t="str">
            <v>6143-1</v>
          </cell>
          <cell r="B732">
            <v>42354</v>
          </cell>
          <cell r="C732" t="str">
            <v>2015</v>
          </cell>
          <cell r="D732" t="str">
            <v>Patrick OBrill</v>
          </cell>
          <cell r="E732" t="str">
            <v>27/580 Hay Street</v>
          </cell>
          <cell r="F732" t="str">
            <v>Perth</v>
          </cell>
          <cell r="G732" t="str">
            <v>WA</v>
          </cell>
          <cell r="H732" t="str">
            <v>Home Office</v>
          </cell>
          <cell r="I732" t="str">
            <v>Tina Carlton</v>
          </cell>
          <cell r="J732" t="str">
            <v>Critical</v>
          </cell>
          <cell r="K732" t="str">
            <v>Beekin 105-Key Black Keyboard</v>
          </cell>
          <cell r="L732" t="str">
            <v>Technology</v>
          </cell>
          <cell r="M732" t="str">
            <v>Small Box</v>
          </cell>
          <cell r="N732" t="str">
            <v>Express Air</v>
          </cell>
          <cell r="O732">
            <v>42356</v>
          </cell>
          <cell r="P732">
            <v>6.39</v>
          </cell>
          <cell r="Q732">
            <v>19.98</v>
          </cell>
          <cell r="R732">
            <v>13.59</v>
          </cell>
          <cell r="S732">
            <v>18</v>
          </cell>
          <cell r="T732">
            <v>359.64</v>
          </cell>
          <cell r="V732">
            <v>14.3856</v>
          </cell>
          <cell r="W732">
            <v>345.25439999999998</v>
          </cell>
          <cell r="X732">
            <v>4</v>
          </cell>
          <cell r="Y732">
            <v>349.25439999999998</v>
          </cell>
        </row>
        <row r="733">
          <cell r="A733" t="str">
            <v>6143-2</v>
          </cell>
          <cell r="B733">
            <v>42354</v>
          </cell>
          <cell r="C733" t="str">
            <v>2015</v>
          </cell>
          <cell r="D733" t="str">
            <v>Patrick OBrill</v>
          </cell>
          <cell r="E733" t="str">
            <v>27/580 Hay Street</v>
          </cell>
          <cell r="F733" t="str">
            <v>Perth</v>
          </cell>
          <cell r="G733" t="str">
            <v>WA</v>
          </cell>
          <cell r="H733" t="str">
            <v>Home Office</v>
          </cell>
          <cell r="I733" t="str">
            <v>Tina Carlton</v>
          </cell>
          <cell r="J733" t="str">
            <v>Critical</v>
          </cell>
          <cell r="K733" t="str">
            <v>Multi-Use Personal File Cart and Caster Set, Three Stacking Bins</v>
          </cell>
          <cell r="L733" t="str">
            <v>Office Supplies</v>
          </cell>
          <cell r="M733" t="str">
            <v>Small Box</v>
          </cell>
          <cell r="N733" t="str">
            <v>Regular Air</v>
          </cell>
          <cell r="O733">
            <v>42356</v>
          </cell>
          <cell r="P733">
            <v>14.95</v>
          </cell>
          <cell r="Q733">
            <v>34.76</v>
          </cell>
          <cell r="R733">
            <v>19.809999999999999</v>
          </cell>
          <cell r="S733">
            <v>46</v>
          </cell>
          <cell r="T733">
            <v>1598.9599999999998</v>
          </cell>
          <cell r="V733">
            <v>143.90639999999999</v>
          </cell>
          <cell r="W733">
            <v>1455.0535999999997</v>
          </cell>
          <cell r="X733">
            <v>8.2200000000000006</v>
          </cell>
          <cell r="Y733">
            <v>1463.2735999999998</v>
          </cell>
        </row>
        <row r="734">
          <cell r="A734" t="str">
            <v>6144-1</v>
          </cell>
          <cell r="B734">
            <v>42354</v>
          </cell>
          <cell r="C734" t="str">
            <v>2015</v>
          </cell>
          <cell r="D734" t="str">
            <v>Charles Crestani</v>
          </cell>
          <cell r="E734" t="str">
            <v>Sydney Fish Market, Bank Street, Sydney</v>
          </cell>
          <cell r="F734" t="str">
            <v>Sydney</v>
          </cell>
          <cell r="G734" t="str">
            <v>NSW</v>
          </cell>
          <cell r="H734" t="str">
            <v>Consumer</v>
          </cell>
          <cell r="I734" t="str">
            <v>Phoebe Gour</v>
          </cell>
          <cell r="J734" t="str">
            <v>Medium</v>
          </cell>
          <cell r="K734" t="str">
            <v>Multimedia Mailers</v>
          </cell>
          <cell r="L734" t="str">
            <v>Office Supplies</v>
          </cell>
          <cell r="M734" t="str">
            <v>Small Box</v>
          </cell>
          <cell r="N734" t="str">
            <v>Regular Air</v>
          </cell>
          <cell r="O734">
            <v>42355</v>
          </cell>
          <cell r="P734">
            <v>99.39</v>
          </cell>
          <cell r="Q734">
            <v>162.93</v>
          </cell>
          <cell r="R734">
            <v>63.540000000000006</v>
          </cell>
          <cell r="S734">
            <v>41</v>
          </cell>
          <cell r="T734">
            <v>6680.13</v>
          </cell>
          <cell r="V734">
            <v>66.801299999999998</v>
          </cell>
          <cell r="W734">
            <v>6613.3287</v>
          </cell>
          <cell r="X734">
            <v>19.989999999999998</v>
          </cell>
          <cell r="Y734">
            <v>6633.3186999999998</v>
          </cell>
        </row>
        <row r="735">
          <cell r="A735" t="str">
            <v>6146-1</v>
          </cell>
          <cell r="B735">
            <v>42357</v>
          </cell>
          <cell r="C735" t="str">
            <v>2015</v>
          </cell>
          <cell r="D735" t="str">
            <v>Olvera Toch</v>
          </cell>
          <cell r="E735" t="str">
            <v>3 Carrington Road ,Box Hill</v>
          </cell>
          <cell r="F735" t="str">
            <v>Melbourne</v>
          </cell>
          <cell r="G735" t="str">
            <v>VIC</v>
          </cell>
          <cell r="H735" t="str">
            <v>Home Office</v>
          </cell>
          <cell r="I735" t="str">
            <v>Yvette Biti</v>
          </cell>
          <cell r="J735" t="str">
            <v>Not Specified</v>
          </cell>
          <cell r="K735" t="str">
            <v>Alto Memo Cubes</v>
          </cell>
          <cell r="L735" t="str">
            <v>Office Supplies</v>
          </cell>
          <cell r="M735" t="str">
            <v>Wrap Bag</v>
          </cell>
          <cell r="N735" t="str">
            <v>Regular Air</v>
          </cell>
          <cell r="O735">
            <v>42359</v>
          </cell>
          <cell r="P735">
            <v>3.32</v>
          </cell>
          <cell r="Q735">
            <v>5.18</v>
          </cell>
          <cell r="R735">
            <v>1.8599999999999999</v>
          </cell>
          <cell r="S735">
            <v>25</v>
          </cell>
          <cell r="T735">
            <v>129.5</v>
          </cell>
          <cell r="V735">
            <v>12.950000000000001</v>
          </cell>
          <cell r="W735">
            <v>116.55</v>
          </cell>
          <cell r="X735">
            <v>2.04</v>
          </cell>
          <cell r="Y735">
            <v>118.59</v>
          </cell>
        </row>
        <row r="736">
          <cell r="A736" t="str">
            <v>6148-1</v>
          </cell>
          <cell r="B736">
            <v>42357</v>
          </cell>
          <cell r="C736" t="str">
            <v>2015</v>
          </cell>
          <cell r="D736" t="str">
            <v>Lena Creighton</v>
          </cell>
          <cell r="E736" t="str">
            <v>127 Liverpool St,Sydney</v>
          </cell>
          <cell r="F736" t="str">
            <v>Sydney</v>
          </cell>
          <cell r="G736" t="str">
            <v>NSW</v>
          </cell>
          <cell r="H736" t="str">
            <v>Corporate</v>
          </cell>
          <cell r="I736" t="str">
            <v>Samantha Chairs</v>
          </cell>
          <cell r="J736" t="str">
            <v>Critical</v>
          </cell>
          <cell r="K736" t="str">
            <v>Beekin 6 Outlet Metallic Surge Strip</v>
          </cell>
          <cell r="L736" t="str">
            <v>Office Supplies</v>
          </cell>
          <cell r="M736" t="str">
            <v>Small Box</v>
          </cell>
          <cell r="N736" t="str">
            <v>Regular Air</v>
          </cell>
          <cell r="O736">
            <v>42359</v>
          </cell>
          <cell r="P736">
            <v>4.46</v>
          </cell>
          <cell r="Q736">
            <v>10.89</v>
          </cell>
          <cell r="R736">
            <v>6.4300000000000006</v>
          </cell>
          <cell r="S736">
            <v>30</v>
          </cell>
          <cell r="T736">
            <v>326.70000000000005</v>
          </cell>
          <cell r="V736">
            <v>26.136000000000003</v>
          </cell>
          <cell r="W736">
            <v>300.56400000000002</v>
          </cell>
          <cell r="X736">
            <v>4.5</v>
          </cell>
          <cell r="Y736">
            <v>305.06400000000002</v>
          </cell>
        </row>
        <row r="737">
          <cell r="A737" t="str">
            <v>6150-1</v>
          </cell>
          <cell r="B737">
            <v>42360</v>
          </cell>
          <cell r="C737" t="str">
            <v>2015</v>
          </cell>
          <cell r="D737" t="str">
            <v>Carol Triggs</v>
          </cell>
          <cell r="E737" t="str">
            <v>15 Aberdeen Street</v>
          </cell>
          <cell r="F737" t="str">
            <v>Perth</v>
          </cell>
          <cell r="G737" t="str">
            <v>WA</v>
          </cell>
          <cell r="H737" t="str">
            <v>Home Office</v>
          </cell>
          <cell r="I737" t="str">
            <v>Radhya Staples</v>
          </cell>
          <cell r="J737" t="str">
            <v>Not Specified</v>
          </cell>
          <cell r="K737" t="str">
            <v>600 Series Non-Flip</v>
          </cell>
          <cell r="L737" t="str">
            <v>Technology</v>
          </cell>
          <cell r="M737" t="str">
            <v>Small Box</v>
          </cell>
          <cell r="N737" t="str">
            <v>Regular Air</v>
          </cell>
          <cell r="O737">
            <v>42362</v>
          </cell>
          <cell r="P737">
            <v>19.78</v>
          </cell>
          <cell r="Q737">
            <v>45.99</v>
          </cell>
          <cell r="R737">
            <v>26.21</v>
          </cell>
          <cell r="S737">
            <v>11</v>
          </cell>
          <cell r="T737">
            <v>505.89000000000004</v>
          </cell>
          <cell r="V737">
            <v>35.412300000000009</v>
          </cell>
          <cell r="W737">
            <v>470.47770000000003</v>
          </cell>
          <cell r="X737">
            <v>4.99</v>
          </cell>
          <cell r="Y737">
            <v>475.46770000000004</v>
          </cell>
        </row>
        <row r="738">
          <cell r="A738" t="str">
            <v>6151-1</v>
          </cell>
          <cell r="B738">
            <v>42362</v>
          </cell>
          <cell r="C738" t="str">
            <v>2015</v>
          </cell>
          <cell r="D738" t="str">
            <v>Sarah Foster</v>
          </cell>
          <cell r="E738" t="str">
            <v>Sydney Fish Market, Bank Street, Sydney</v>
          </cell>
          <cell r="F738" t="str">
            <v>Sydney</v>
          </cell>
          <cell r="G738" t="str">
            <v>NSW</v>
          </cell>
          <cell r="H738" t="str">
            <v>Corporate</v>
          </cell>
          <cell r="I738" t="str">
            <v>Phoebe Gour</v>
          </cell>
          <cell r="J738" t="str">
            <v>Critical</v>
          </cell>
          <cell r="K738" t="str">
            <v>Smiths General Use 3-Ring Binders</v>
          </cell>
          <cell r="L738" t="str">
            <v>Office Supplies</v>
          </cell>
          <cell r="M738" t="str">
            <v>Small Box</v>
          </cell>
          <cell r="N738" t="str">
            <v>Regular Air</v>
          </cell>
          <cell r="O738">
            <v>42364</v>
          </cell>
          <cell r="P738">
            <v>1.18</v>
          </cell>
          <cell r="Q738">
            <v>1.88</v>
          </cell>
          <cell r="R738">
            <v>0.7</v>
          </cell>
          <cell r="S738">
            <v>39</v>
          </cell>
          <cell r="T738">
            <v>73.319999999999993</v>
          </cell>
          <cell r="V738">
            <v>5.1323999999999996</v>
          </cell>
          <cell r="W738">
            <v>68.187599999999989</v>
          </cell>
          <cell r="X738">
            <v>1.49</v>
          </cell>
          <cell r="Y738">
            <v>69.677599999999984</v>
          </cell>
        </row>
        <row r="739">
          <cell r="A739" t="str">
            <v>6152-1</v>
          </cell>
          <cell r="B739">
            <v>42363</v>
          </cell>
          <cell r="C739" t="str">
            <v>2015</v>
          </cell>
          <cell r="D739" t="str">
            <v>Art Miller</v>
          </cell>
          <cell r="E739" t="str">
            <v>14 Money Street, Perth</v>
          </cell>
          <cell r="F739" t="str">
            <v>Sydney</v>
          </cell>
          <cell r="G739" t="str">
            <v>NSW</v>
          </cell>
          <cell r="H739" t="str">
            <v>Corporate</v>
          </cell>
          <cell r="I739" t="str">
            <v>Leighton Forrest</v>
          </cell>
          <cell r="J739" t="str">
            <v>Low</v>
          </cell>
          <cell r="K739" t="str">
            <v>HFX LaserJet 3310 Copier</v>
          </cell>
          <cell r="L739" t="str">
            <v>Technology</v>
          </cell>
          <cell r="M739" t="str">
            <v>Large Box</v>
          </cell>
          <cell r="N739" t="str">
            <v>Regular Air</v>
          </cell>
          <cell r="O739">
            <v>42370</v>
          </cell>
          <cell r="P739">
            <v>377.99</v>
          </cell>
          <cell r="Q739">
            <v>599.99</v>
          </cell>
          <cell r="R739">
            <v>222</v>
          </cell>
          <cell r="S739">
            <v>17</v>
          </cell>
          <cell r="T739">
            <v>10199.83</v>
          </cell>
          <cell r="V739">
            <v>815.9864</v>
          </cell>
          <cell r="W739">
            <v>9383.8436000000002</v>
          </cell>
          <cell r="X739">
            <v>24.49</v>
          </cell>
          <cell r="Y739">
            <v>9408.3335999999999</v>
          </cell>
        </row>
        <row r="740">
          <cell r="A740" t="str">
            <v>6154-1</v>
          </cell>
          <cell r="B740">
            <v>42363</v>
          </cell>
          <cell r="C740" t="str">
            <v>2015</v>
          </cell>
          <cell r="D740" t="str">
            <v>Karl Brown</v>
          </cell>
          <cell r="E740" t="str">
            <v>470 Anzac Parade,Kingsford</v>
          </cell>
          <cell r="F740" t="str">
            <v>Sydney</v>
          </cell>
          <cell r="G740" t="str">
            <v>NSW</v>
          </cell>
          <cell r="H740" t="str">
            <v>Corporate</v>
          </cell>
          <cell r="I740" t="str">
            <v>Tina Carlton</v>
          </cell>
          <cell r="J740" t="str">
            <v>High</v>
          </cell>
          <cell r="K740" t="str">
            <v>Pizazz Dustless Chalk Sticks</v>
          </cell>
          <cell r="L740" t="str">
            <v>Office Supplies</v>
          </cell>
          <cell r="M740" t="str">
            <v>Wrap Bag</v>
          </cell>
          <cell r="N740" t="str">
            <v>Regular Air</v>
          </cell>
          <cell r="O740">
            <v>42364</v>
          </cell>
          <cell r="P740">
            <v>1.0900000000000001</v>
          </cell>
          <cell r="Q740">
            <v>1.68</v>
          </cell>
          <cell r="R740">
            <v>0.58999999999999986</v>
          </cell>
          <cell r="S740">
            <v>24</v>
          </cell>
          <cell r="T740">
            <v>40.32</v>
          </cell>
          <cell r="V740">
            <v>2.016</v>
          </cell>
          <cell r="W740">
            <v>38.304000000000002</v>
          </cell>
          <cell r="X740">
            <v>1</v>
          </cell>
          <cell r="Y740">
            <v>39.304000000000002</v>
          </cell>
        </row>
        <row r="741">
          <cell r="A741" t="str">
            <v>6155-1</v>
          </cell>
          <cell r="B741">
            <v>42366</v>
          </cell>
          <cell r="C741" t="str">
            <v>2015</v>
          </cell>
          <cell r="D741" t="str">
            <v>Gary McGarr</v>
          </cell>
          <cell r="E741" t="str">
            <v>10 Bligh St,Melbourne</v>
          </cell>
          <cell r="F741" t="str">
            <v>Melbourne</v>
          </cell>
          <cell r="G741" t="str">
            <v>VIC</v>
          </cell>
          <cell r="H741" t="str">
            <v>Home Office</v>
          </cell>
          <cell r="I741" t="str">
            <v>Yvette Biti</v>
          </cell>
          <cell r="J741" t="str">
            <v>High</v>
          </cell>
          <cell r="K741" t="str">
            <v>1726 Digital Answering Machine</v>
          </cell>
          <cell r="L741" t="str">
            <v>Technology</v>
          </cell>
          <cell r="M741" t="str">
            <v>Medium Box</v>
          </cell>
          <cell r="N741" t="str">
            <v>Regular Air</v>
          </cell>
          <cell r="O741">
            <v>42367</v>
          </cell>
          <cell r="P741">
            <v>8.82</v>
          </cell>
          <cell r="Q741">
            <v>20.99</v>
          </cell>
          <cell r="R741">
            <v>12.169999999999998</v>
          </cell>
          <cell r="S741">
            <v>30</v>
          </cell>
          <cell r="T741">
            <v>629.69999999999993</v>
          </cell>
          <cell r="V741">
            <v>18.890999999999998</v>
          </cell>
          <cell r="W741">
            <v>610.80899999999997</v>
          </cell>
          <cell r="X741">
            <v>4.8099999999999996</v>
          </cell>
          <cell r="Y741">
            <v>615.61899999999991</v>
          </cell>
        </row>
        <row r="742">
          <cell r="A742" t="str">
            <v>6157-1</v>
          </cell>
          <cell r="B742">
            <v>42366</v>
          </cell>
          <cell r="C742" t="str">
            <v>2015</v>
          </cell>
          <cell r="D742" t="str">
            <v>Ken Dana</v>
          </cell>
          <cell r="E742" t="str">
            <v>73 York St,Sydney</v>
          </cell>
          <cell r="F742" t="str">
            <v>Sydney</v>
          </cell>
          <cell r="G742" t="str">
            <v>NSW</v>
          </cell>
          <cell r="H742" t="str">
            <v>Small Business</v>
          </cell>
          <cell r="I742" t="str">
            <v>Tina Carlton</v>
          </cell>
          <cell r="J742" t="str">
            <v>Critical</v>
          </cell>
          <cell r="K742" t="str">
            <v>Smiths General Use 3-Ring Binders</v>
          </cell>
          <cell r="L742" t="str">
            <v>Office Supplies</v>
          </cell>
          <cell r="M742" t="str">
            <v>Small Box</v>
          </cell>
          <cell r="N742" t="str">
            <v>Regular Air</v>
          </cell>
          <cell r="O742">
            <v>42368</v>
          </cell>
          <cell r="P742">
            <v>1.18</v>
          </cell>
          <cell r="Q742">
            <v>1.88</v>
          </cell>
          <cell r="R742">
            <v>0.7</v>
          </cell>
          <cell r="S742">
            <v>1</v>
          </cell>
          <cell r="T742">
            <v>1.88</v>
          </cell>
          <cell r="V742">
            <v>0.16919999999999999</v>
          </cell>
          <cell r="W742">
            <v>1.7107999999999999</v>
          </cell>
          <cell r="X742">
            <v>1.49</v>
          </cell>
          <cell r="Y742">
            <v>3.2008000000000001</v>
          </cell>
        </row>
        <row r="743">
          <cell r="A743" t="str">
            <v>6158-1</v>
          </cell>
          <cell r="B743">
            <v>42366</v>
          </cell>
          <cell r="C743" t="str">
            <v>2015</v>
          </cell>
          <cell r="D743" t="str">
            <v>Sally Knutson</v>
          </cell>
          <cell r="E743" t="str">
            <v>32/82 King Street</v>
          </cell>
          <cell r="F743" t="str">
            <v>Perth</v>
          </cell>
          <cell r="G743" t="str">
            <v>WA</v>
          </cell>
          <cell r="H743" t="str">
            <v>Corporate</v>
          </cell>
          <cell r="I743" t="str">
            <v>Mihael Khan</v>
          </cell>
          <cell r="J743" t="str">
            <v>Low</v>
          </cell>
          <cell r="K743" t="str">
            <v>Steady 52201 APSCO Electric Pencil Sharpener</v>
          </cell>
          <cell r="L743" t="str">
            <v>Office Supplies</v>
          </cell>
          <cell r="M743" t="str">
            <v>Small Pack</v>
          </cell>
          <cell r="N743" t="str">
            <v>Express Air</v>
          </cell>
          <cell r="O743">
            <v>42373</v>
          </cell>
          <cell r="P743">
            <v>16.8</v>
          </cell>
          <cell r="Q743">
            <v>40.97</v>
          </cell>
          <cell r="R743">
            <v>24.169999999999998</v>
          </cell>
          <cell r="S743">
            <v>49</v>
          </cell>
          <cell r="T743">
            <v>2007.53</v>
          </cell>
          <cell r="V743">
            <v>200.75300000000001</v>
          </cell>
          <cell r="W743">
            <v>1806.777</v>
          </cell>
          <cell r="X743">
            <v>8.99</v>
          </cell>
          <cell r="Y743">
            <v>1815.7670000000001</v>
          </cell>
        </row>
        <row r="744">
          <cell r="A744" t="str">
            <v>6159-1</v>
          </cell>
          <cell r="B744">
            <v>42369</v>
          </cell>
          <cell r="C744" t="str">
            <v>2015</v>
          </cell>
          <cell r="D744" t="str">
            <v>Matt Collister</v>
          </cell>
          <cell r="E744" t="str">
            <v>1/20 Pendal Lane</v>
          </cell>
          <cell r="F744" t="str">
            <v>Perth</v>
          </cell>
          <cell r="G744" t="str">
            <v>WA</v>
          </cell>
          <cell r="H744" t="str">
            <v>Home Office</v>
          </cell>
          <cell r="I744" t="str">
            <v>Natasha Song</v>
          </cell>
          <cell r="J744" t="str">
            <v>High</v>
          </cell>
          <cell r="K744" t="str">
            <v>Angle-D Binders with Locking Rings, Label Holders</v>
          </cell>
          <cell r="L744" t="str">
            <v>Office Supplies</v>
          </cell>
          <cell r="M744" t="str">
            <v>Small Box</v>
          </cell>
          <cell r="N744" t="str">
            <v>Regular Air</v>
          </cell>
          <cell r="O744">
            <v>42370</v>
          </cell>
          <cell r="P744">
            <v>4.53</v>
          </cell>
          <cell r="Q744">
            <v>7.3</v>
          </cell>
          <cell r="R744">
            <v>2.7699999999999996</v>
          </cell>
          <cell r="S744">
            <v>38</v>
          </cell>
          <cell r="T744">
            <v>277.39999999999998</v>
          </cell>
          <cell r="V744">
            <v>13.87</v>
          </cell>
          <cell r="W744">
            <v>263.52999999999997</v>
          </cell>
          <cell r="X744">
            <v>7.72</v>
          </cell>
          <cell r="Y744">
            <v>271.25</v>
          </cell>
        </row>
        <row r="745">
          <cell r="A745" t="str">
            <v>6159-2</v>
          </cell>
          <cell r="B745">
            <v>42369</v>
          </cell>
          <cell r="C745" t="str">
            <v>2015</v>
          </cell>
          <cell r="D745" t="str">
            <v>Matt Collister</v>
          </cell>
          <cell r="E745" t="str">
            <v>1/20 Pendal Lane</v>
          </cell>
          <cell r="F745" t="str">
            <v>Perth</v>
          </cell>
          <cell r="G745" t="str">
            <v>WA</v>
          </cell>
          <cell r="H745" t="str">
            <v>Home Office</v>
          </cell>
          <cell r="I745" t="str">
            <v>Natasha Song</v>
          </cell>
          <cell r="J745" t="str">
            <v>Medium</v>
          </cell>
          <cell r="K745" t="str">
            <v>Artisan 487 Labels</v>
          </cell>
          <cell r="L745" t="str">
            <v>Office Supplies</v>
          </cell>
          <cell r="M745" t="str">
            <v>Small Box</v>
          </cell>
          <cell r="N745" t="str">
            <v>Regular Air</v>
          </cell>
          <cell r="O745">
            <v>42370</v>
          </cell>
          <cell r="P745">
            <v>2.29</v>
          </cell>
          <cell r="Q745">
            <v>3.69</v>
          </cell>
          <cell r="R745">
            <v>1.4</v>
          </cell>
          <cell r="S745">
            <v>41</v>
          </cell>
          <cell r="T745">
            <v>151.29</v>
          </cell>
          <cell r="V745">
            <v>1.5128999999999999</v>
          </cell>
          <cell r="W745">
            <v>149.77709999999999</v>
          </cell>
          <cell r="X745">
            <v>0.5</v>
          </cell>
          <cell r="Y745">
            <v>150.27709999999999</v>
          </cell>
        </row>
        <row r="746">
          <cell r="A746" t="str">
            <v>6159-2</v>
          </cell>
          <cell r="B746">
            <v>42369</v>
          </cell>
          <cell r="C746" t="str">
            <v>2015</v>
          </cell>
          <cell r="D746" t="str">
            <v>Matt Collister</v>
          </cell>
          <cell r="E746" t="str">
            <v>1/20 Pendal Lane</v>
          </cell>
          <cell r="F746" t="str">
            <v>Perth</v>
          </cell>
          <cell r="G746" t="str">
            <v>WA</v>
          </cell>
          <cell r="H746" t="str">
            <v>Home Office</v>
          </cell>
          <cell r="I746" t="str">
            <v>Natasha Song</v>
          </cell>
          <cell r="J746" t="str">
            <v>High</v>
          </cell>
          <cell r="K746" t="str">
            <v>DrawIt Colored Pencils</v>
          </cell>
          <cell r="L746" t="str">
            <v>Office Supplies</v>
          </cell>
          <cell r="M746" t="str">
            <v>Wrap Bag</v>
          </cell>
          <cell r="N746" t="str">
            <v>Express Air</v>
          </cell>
          <cell r="O746">
            <v>42370</v>
          </cell>
          <cell r="P746">
            <v>4.37</v>
          </cell>
          <cell r="Q746">
            <v>9.11</v>
          </cell>
          <cell r="R746">
            <v>4.7399999999999993</v>
          </cell>
          <cell r="S746">
            <v>21</v>
          </cell>
          <cell r="T746">
            <v>191.31</v>
          </cell>
          <cell r="V746">
            <v>5.7393000000000001</v>
          </cell>
          <cell r="W746">
            <v>185.57069999999999</v>
          </cell>
          <cell r="X746">
            <v>2.25</v>
          </cell>
          <cell r="Y746">
            <v>187.82069999999999</v>
          </cell>
        </row>
        <row r="747">
          <cell r="A747" t="str">
            <v>6165-1</v>
          </cell>
          <cell r="B747">
            <v>42371</v>
          </cell>
          <cell r="C747" t="str">
            <v>2016</v>
          </cell>
          <cell r="D747" t="str">
            <v>Bart Folk</v>
          </cell>
          <cell r="E747" t="str">
            <v>10/145 Newcastle Street, Perth</v>
          </cell>
          <cell r="F747" t="str">
            <v>Sydney</v>
          </cell>
          <cell r="G747" t="str">
            <v>NSW</v>
          </cell>
          <cell r="H747" t="str">
            <v>Corporate</v>
          </cell>
          <cell r="I747" t="str">
            <v>Preston Senome</v>
          </cell>
          <cell r="J747" t="str">
            <v>Not Specified</v>
          </cell>
          <cell r="K747" t="str">
            <v>TechSavi Cordless Access Keyboard</v>
          </cell>
          <cell r="L747" t="str">
            <v>Technology</v>
          </cell>
          <cell r="M747" t="str">
            <v>Small Box</v>
          </cell>
          <cell r="N747" t="str">
            <v>Regular Air</v>
          </cell>
          <cell r="O747">
            <v>42372</v>
          </cell>
          <cell r="P747">
            <v>14.7</v>
          </cell>
          <cell r="Q747">
            <v>29.99</v>
          </cell>
          <cell r="R747">
            <v>15.29</v>
          </cell>
          <cell r="S747">
            <v>14</v>
          </cell>
          <cell r="T747">
            <v>419.85999999999996</v>
          </cell>
          <cell r="V747">
            <v>16.7944</v>
          </cell>
          <cell r="W747">
            <v>403.06559999999996</v>
          </cell>
          <cell r="X747">
            <v>5.5</v>
          </cell>
          <cell r="Y747">
            <v>408.56559999999996</v>
          </cell>
        </row>
        <row r="748">
          <cell r="A748" t="str">
            <v>6166-1</v>
          </cell>
          <cell r="B748">
            <v>42378</v>
          </cell>
          <cell r="C748" t="str">
            <v>2016</v>
          </cell>
          <cell r="D748" t="str">
            <v>Lena Creighton</v>
          </cell>
          <cell r="E748" t="str">
            <v>127 Liverpool St,Sydney</v>
          </cell>
          <cell r="F748" t="str">
            <v>Sydney</v>
          </cell>
          <cell r="G748" t="str">
            <v>NSW</v>
          </cell>
          <cell r="H748" t="str">
            <v>Home Office</v>
          </cell>
          <cell r="I748" t="str">
            <v>Samantha Chairs</v>
          </cell>
          <cell r="J748" t="str">
            <v>High</v>
          </cell>
          <cell r="K748" t="str">
            <v>Steady Liquid Accent Highlighters</v>
          </cell>
          <cell r="L748" t="str">
            <v>Office Supplies</v>
          </cell>
          <cell r="M748" t="str">
            <v>Wrap Bag</v>
          </cell>
          <cell r="N748" t="str">
            <v>Regular Air</v>
          </cell>
          <cell r="O748">
            <v>42380</v>
          </cell>
          <cell r="P748">
            <v>3.47</v>
          </cell>
          <cell r="Q748">
            <v>6.68</v>
          </cell>
          <cell r="R748">
            <v>3.2099999999999995</v>
          </cell>
          <cell r="S748">
            <v>10</v>
          </cell>
          <cell r="T748">
            <v>66.8</v>
          </cell>
          <cell r="V748">
            <v>5.3440000000000003</v>
          </cell>
          <cell r="W748">
            <v>61.455999999999996</v>
          </cell>
          <cell r="X748">
            <v>1.5</v>
          </cell>
          <cell r="Y748">
            <v>62.955999999999996</v>
          </cell>
        </row>
        <row r="749">
          <cell r="A749" t="str">
            <v>6167-1</v>
          </cell>
          <cell r="B749">
            <v>42381</v>
          </cell>
          <cell r="C749" t="str">
            <v>2016</v>
          </cell>
          <cell r="D749" t="str">
            <v>Dave Hallsten</v>
          </cell>
          <cell r="E749" t="str">
            <v>1 John St,Waterloo</v>
          </cell>
          <cell r="F749" t="str">
            <v>Sydney</v>
          </cell>
          <cell r="G749" t="str">
            <v>NSW</v>
          </cell>
          <cell r="H749" t="str">
            <v>Home Office</v>
          </cell>
          <cell r="I749" t="str">
            <v>Charlie Bui</v>
          </cell>
          <cell r="J749" t="str">
            <v>High</v>
          </cell>
          <cell r="K749" t="str">
            <v>Artisan Legal 4-Ring Binder</v>
          </cell>
          <cell r="L749" t="str">
            <v>Office Supplies</v>
          </cell>
          <cell r="M749" t="str">
            <v>Small Box</v>
          </cell>
          <cell r="N749" t="str">
            <v>Regular Air</v>
          </cell>
          <cell r="O749">
            <v>42383</v>
          </cell>
          <cell r="P749">
            <v>13.64</v>
          </cell>
          <cell r="Q749">
            <v>20.98</v>
          </cell>
          <cell r="R749">
            <v>7.34</v>
          </cell>
          <cell r="S749">
            <v>34</v>
          </cell>
          <cell r="T749">
            <v>713.32</v>
          </cell>
          <cell r="V749">
            <v>49.932400000000008</v>
          </cell>
          <cell r="W749">
            <v>663.38760000000002</v>
          </cell>
          <cell r="X749">
            <v>1.49</v>
          </cell>
          <cell r="Y749">
            <v>664.87760000000003</v>
          </cell>
        </row>
        <row r="750">
          <cell r="A750" t="str">
            <v>6168-1</v>
          </cell>
          <cell r="B750">
            <v>42386</v>
          </cell>
          <cell r="C750" t="str">
            <v>2016</v>
          </cell>
          <cell r="D750" t="str">
            <v>Art Foster</v>
          </cell>
          <cell r="E750" t="str">
            <v>14 Money Street, Perth</v>
          </cell>
          <cell r="F750" t="str">
            <v>Sydney</v>
          </cell>
          <cell r="G750" t="str">
            <v>NSW</v>
          </cell>
          <cell r="H750" t="str">
            <v>Home Office</v>
          </cell>
          <cell r="I750" t="str">
            <v>Stevie Bacata</v>
          </cell>
          <cell r="J750" t="str">
            <v>High</v>
          </cell>
          <cell r="K750" t="str">
            <v>Laser Neon Mac Format Diskettes, 10/Pack</v>
          </cell>
          <cell r="L750" t="str">
            <v>Technology</v>
          </cell>
          <cell r="M750" t="str">
            <v>Small Pack</v>
          </cell>
          <cell r="N750" t="str">
            <v>Regular Air</v>
          </cell>
          <cell r="O750">
            <v>42387</v>
          </cell>
          <cell r="P750">
            <v>1.87</v>
          </cell>
          <cell r="Q750">
            <v>8.1199999999999992</v>
          </cell>
          <cell r="R750">
            <v>6.2499999999999991</v>
          </cell>
          <cell r="S750">
            <v>47</v>
          </cell>
          <cell r="T750">
            <v>381.64</v>
          </cell>
          <cell r="V750">
            <v>26.7148</v>
          </cell>
          <cell r="W750">
            <v>354.92519999999996</v>
          </cell>
          <cell r="X750">
            <v>2.83</v>
          </cell>
          <cell r="Y750">
            <v>357.75519999999995</v>
          </cell>
        </row>
        <row r="751">
          <cell r="A751" t="str">
            <v>6169-1</v>
          </cell>
          <cell r="B751">
            <v>42386</v>
          </cell>
          <cell r="C751" t="str">
            <v>2016</v>
          </cell>
          <cell r="D751" t="str">
            <v>Cyra Reiten</v>
          </cell>
          <cell r="E751" t="str">
            <v>Westfield 1 Anderson St,Chatswood</v>
          </cell>
          <cell r="F751" t="str">
            <v>Sydney</v>
          </cell>
          <cell r="G751" t="str">
            <v>NSW</v>
          </cell>
          <cell r="H751" t="str">
            <v>Consumer</v>
          </cell>
          <cell r="I751" t="str">
            <v>Nicholas Fernandes</v>
          </cell>
          <cell r="J751" t="str">
            <v>Medium</v>
          </cell>
          <cell r="K751" t="str">
            <v>Laser Neon Mac Format Diskettes, 10/Pack</v>
          </cell>
          <cell r="L751" t="str">
            <v>Technology</v>
          </cell>
          <cell r="M751" t="str">
            <v>Small Pack</v>
          </cell>
          <cell r="N751" t="str">
            <v>Regular Air</v>
          </cell>
          <cell r="O751">
            <v>42386</v>
          </cell>
          <cell r="P751">
            <v>1.87</v>
          </cell>
          <cell r="Q751">
            <v>8.1199999999999992</v>
          </cell>
          <cell r="R751">
            <v>6.2499999999999991</v>
          </cell>
          <cell r="S751">
            <v>36</v>
          </cell>
          <cell r="T751">
            <v>292.32</v>
          </cell>
          <cell r="V751">
            <v>29.231999999999999</v>
          </cell>
          <cell r="W751">
            <v>263.08799999999997</v>
          </cell>
          <cell r="X751">
            <v>2.83</v>
          </cell>
          <cell r="Y751">
            <v>265.91799999999995</v>
          </cell>
        </row>
        <row r="752">
          <cell r="A752" t="str">
            <v>6170-1</v>
          </cell>
          <cell r="B752">
            <v>42386</v>
          </cell>
          <cell r="C752" t="str">
            <v>2016</v>
          </cell>
          <cell r="D752" t="str">
            <v>Maria Bertelson</v>
          </cell>
          <cell r="E752" t="str">
            <v>188 Pitt Street,Sydney</v>
          </cell>
          <cell r="F752" t="str">
            <v>Sydney</v>
          </cell>
          <cell r="G752" t="str">
            <v>NSW</v>
          </cell>
          <cell r="H752" t="str">
            <v>Home Office</v>
          </cell>
          <cell r="I752" t="str">
            <v>Tina Carlton</v>
          </cell>
          <cell r="J752" t="str">
            <v>Medium</v>
          </cell>
          <cell r="K752" t="str">
            <v>Smiths SlimLine Pencil Sharpener</v>
          </cell>
          <cell r="L752" t="str">
            <v>Office Supplies</v>
          </cell>
          <cell r="M752" t="str">
            <v>Small Pack</v>
          </cell>
          <cell r="N752" t="str">
            <v>Regular Air</v>
          </cell>
          <cell r="O752">
            <v>42388</v>
          </cell>
          <cell r="P752">
            <v>4.79</v>
          </cell>
          <cell r="Q752">
            <v>11.97</v>
          </cell>
          <cell r="R752">
            <v>7.1800000000000006</v>
          </cell>
          <cell r="S752">
            <v>28</v>
          </cell>
          <cell r="T752">
            <v>335.16</v>
          </cell>
          <cell r="V752">
            <v>10.0548</v>
          </cell>
          <cell r="W752">
            <v>325.10520000000002</v>
          </cell>
          <cell r="X752">
            <v>5.81</v>
          </cell>
          <cell r="Y752">
            <v>330.91520000000003</v>
          </cell>
        </row>
        <row r="753">
          <cell r="A753" t="str">
            <v>6172-1</v>
          </cell>
          <cell r="B753">
            <v>42387</v>
          </cell>
          <cell r="C753" t="str">
            <v>2016</v>
          </cell>
          <cell r="D753" t="str">
            <v>Nicole Brennan</v>
          </cell>
          <cell r="E753" t="str">
            <v>310 Wattle St,Ultimo</v>
          </cell>
          <cell r="F753" t="str">
            <v>Sydney</v>
          </cell>
          <cell r="G753" t="str">
            <v>NSW</v>
          </cell>
          <cell r="H753" t="str">
            <v>Home Office</v>
          </cell>
          <cell r="I753" t="str">
            <v>Aanya Zhang</v>
          </cell>
          <cell r="J753" t="str">
            <v>Not Specified</v>
          </cell>
          <cell r="K753" t="str">
            <v>TechSavi Access Keyboard</v>
          </cell>
          <cell r="L753" t="str">
            <v>Technology</v>
          </cell>
          <cell r="M753" t="str">
            <v>Small Box</v>
          </cell>
          <cell r="N753" t="str">
            <v>Regular Air</v>
          </cell>
          <cell r="O753">
            <v>42389</v>
          </cell>
          <cell r="P753">
            <v>8.31</v>
          </cell>
          <cell r="Q753">
            <v>15.98</v>
          </cell>
          <cell r="R753">
            <v>7.67</v>
          </cell>
          <cell r="S753">
            <v>4</v>
          </cell>
          <cell r="T753">
            <v>63.92</v>
          </cell>
          <cell r="V753">
            <v>5.7527999999999997</v>
          </cell>
          <cell r="W753">
            <v>58.167200000000001</v>
          </cell>
          <cell r="X753">
            <v>6.5</v>
          </cell>
          <cell r="Y753">
            <v>64.667200000000008</v>
          </cell>
        </row>
        <row r="754">
          <cell r="A754" t="str">
            <v>6174-1</v>
          </cell>
          <cell r="B754">
            <v>42388</v>
          </cell>
          <cell r="C754" t="str">
            <v>2016</v>
          </cell>
          <cell r="D754" t="str">
            <v>Tamara Willingham</v>
          </cell>
          <cell r="E754" t="str">
            <v>Sydney Fish Market, Bank Street, Sydney</v>
          </cell>
          <cell r="F754" t="str">
            <v>Sydney</v>
          </cell>
          <cell r="G754" t="str">
            <v>NSW</v>
          </cell>
          <cell r="H754" t="str">
            <v>Corporate</v>
          </cell>
          <cell r="I754" t="str">
            <v>Phoebe Gour</v>
          </cell>
          <cell r="J754" t="str">
            <v>High</v>
          </cell>
          <cell r="K754" t="str">
            <v>Beekin 6 Outlet Metallic Surge Strip</v>
          </cell>
          <cell r="L754" t="str">
            <v>Office Supplies</v>
          </cell>
          <cell r="M754" t="str">
            <v>Small Box</v>
          </cell>
          <cell r="N754" t="str">
            <v>Regular Air</v>
          </cell>
          <cell r="O754">
            <v>42388</v>
          </cell>
          <cell r="P754">
            <v>4.46</v>
          </cell>
          <cell r="Q754">
            <v>10.89</v>
          </cell>
          <cell r="R754">
            <v>6.4300000000000006</v>
          </cell>
          <cell r="S754">
            <v>25</v>
          </cell>
          <cell r="T754">
            <v>272.25</v>
          </cell>
          <cell r="V754">
            <v>8.1675000000000004</v>
          </cell>
          <cell r="W754">
            <v>264.08249999999998</v>
          </cell>
          <cell r="X754">
            <v>4.5</v>
          </cell>
          <cell r="Y754">
            <v>268.58249999999998</v>
          </cell>
        </row>
        <row r="755">
          <cell r="A755" t="str">
            <v>6175-1</v>
          </cell>
          <cell r="B755">
            <v>42388</v>
          </cell>
          <cell r="C755" t="str">
            <v>2016</v>
          </cell>
          <cell r="D755" t="str">
            <v>Sue Ann Reed</v>
          </cell>
          <cell r="E755" t="str">
            <v>501 George St,Sydney</v>
          </cell>
          <cell r="F755" t="str">
            <v>Sydney</v>
          </cell>
          <cell r="G755" t="str">
            <v>NSW</v>
          </cell>
          <cell r="H755" t="str">
            <v>Consumer</v>
          </cell>
          <cell r="I755" t="str">
            <v>Samantha Chairs</v>
          </cell>
          <cell r="J755" t="str">
            <v>Critical</v>
          </cell>
          <cell r="K755" t="str">
            <v>Office Shears by Apex</v>
          </cell>
          <cell r="L755" t="str">
            <v>Office Supplies</v>
          </cell>
          <cell r="M755" t="str">
            <v>Small Pack</v>
          </cell>
          <cell r="N755" t="str">
            <v>Regular Air</v>
          </cell>
          <cell r="O755">
            <v>42388</v>
          </cell>
          <cell r="P755">
            <v>0.94</v>
          </cell>
          <cell r="Q755">
            <v>2.08</v>
          </cell>
          <cell r="R755">
            <v>1.1400000000000001</v>
          </cell>
          <cell r="S755">
            <v>33</v>
          </cell>
          <cell r="T755">
            <v>68.64</v>
          </cell>
          <cell r="V755">
            <v>3.4320000000000004</v>
          </cell>
          <cell r="W755">
            <v>65.207999999999998</v>
          </cell>
          <cell r="X755">
            <v>2.56</v>
          </cell>
          <cell r="Y755">
            <v>67.768000000000001</v>
          </cell>
        </row>
        <row r="756">
          <cell r="A756" t="str">
            <v>6176-1</v>
          </cell>
          <cell r="B756">
            <v>42388</v>
          </cell>
          <cell r="C756" t="str">
            <v>2016</v>
          </cell>
          <cell r="D756" t="str">
            <v>Justin MacKendrick</v>
          </cell>
          <cell r="E756" t="str">
            <v>53-55 Liverpool Street,Sydney</v>
          </cell>
          <cell r="F756" t="str">
            <v>Sydney</v>
          </cell>
          <cell r="G756" t="str">
            <v>NSW</v>
          </cell>
          <cell r="H756" t="str">
            <v>Corporate</v>
          </cell>
          <cell r="I756" t="str">
            <v>Tina Carlton</v>
          </cell>
          <cell r="J756" t="str">
            <v>Critical</v>
          </cell>
          <cell r="K756" t="str">
            <v>UGen Ultra Professional Cordless Optical Suite</v>
          </cell>
          <cell r="L756" t="str">
            <v>Technology</v>
          </cell>
          <cell r="M756" t="str">
            <v>Small Box</v>
          </cell>
          <cell r="N756" t="str">
            <v>Regular Air</v>
          </cell>
          <cell r="O756">
            <v>42388</v>
          </cell>
          <cell r="P756">
            <v>156.5</v>
          </cell>
          <cell r="Q756">
            <v>300.97000000000003</v>
          </cell>
          <cell r="R756">
            <v>144.47000000000003</v>
          </cell>
          <cell r="S756">
            <v>43</v>
          </cell>
          <cell r="T756">
            <v>12941.710000000001</v>
          </cell>
          <cell r="V756">
            <v>1035.3368</v>
          </cell>
          <cell r="W756">
            <v>11906.373200000002</v>
          </cell>
          <cell r="X756">
            <v>7.18</v>
          </cell>
          <cell r="Y756">
            <v>11913.553200000002</v>
          </cell>
        </row>
        <row r="757">
          <cell r="A757" t="str">
            <v>6177-1</v>
          </cell>
          <cell r="B757">
            <v>42393</v>
          </cell>
          <cell r="C757" t="str">
            <v>2016</v>
          </cell>
          <cell r="D757" t="str">
            <v>Joy Bell</v>
          </cell>
          <cell r="E757" t="str">
            <v>Westfield Miranda, 600 Kingsway,Miranda</v>
          </cell>
          <cell r="F757" t="str">
            <v>Sydney</v>
          </cell>
          <cell r="G757" t="str">
            <v>NSW</v>
          </cell>
          <cell r="H757" t="str">
            <v>Home Office</v>
          </cell>
          <cell r="I757" t="str">
            <v>Preston Senome</v>
          </cell>
          <cell r="J757" t="str">
            <v>Critical</v>
          </cell>
          <cell r="K757" t="str">
            <v>Apex Straight Scissors</v>
          </cell>
          <cell r="L757" t="str">
            <v>Office Supplies</v>
          </cell>
          <cell r="M757" t="str">
            <v>Small Pack</v>
          </cell>
          <cell r="N757" t="str">
            <v>Regular Air</v>
          </cell>
          <cell r="O757">
            <v>42394</v>
          </cell>
          <cell r="P757">
            <v>5.19</v>
          </cell>
          <cell r="Q757">
            <v>12.98</v>
          </cell>
          <cell r="R757">
            <v>7.79</v>
          </cell>
          <cell r="S757">
            <v>50</v>
          </cell>
          <cell r="T757">
            <v>649</v>
          </cell>
          <cell r="V757">
            <v>51.92</v>
          </cell>
          <cell r="W757">
            <v>597.08000000000004</v>
          </cell>
          <cell r="X757">
            <v>3.14</v>
          </cell>
          <cell r="Y757">
            <v>600.22</v>
          </cell>
        </row>
        <row r="758">
          <cell r="A758" t="str">
            <v>6179-1</v>
          </cell>
          <cell r="B758">
            <v>42395</v>
          </cell>
          <cell r="C758" t="str">
            <v>2016</v>
          </cell>
          <cell r="D758" t="str">
            <v>Aleksandra Gannaway</v>
          </cell>
          <cell r="E758" t="str">
            <v>508/130 Mounts Bay Road, Perth</v>
          </cell>
          <cell r="F758" t="str">
            <v>Perth</v>
          </cell>
          <cell r="G758" t="str">
            <v>WA</v>
          </cell>
          <cell r="H758" t="str">
            <v>Corporate</v>
          </cell>
          <cell r="I758" t="str">
            <v>Tina Carlton</v>
          </cell>
          <cell r="J758" t="str">
            <v>High</v>
          </cell>
          <cell r="K758" t="str">
            <v>Message Book, One Form per Page</v>
          </cell>
          <cell r="L758" t="str">
            <v>Office Supplies</v>
          </cell>
          <cell r="M758" t="str">
            <v>Wrap Bag</v>
          </cell>
          <cell r="N758" t="str">
            <v>Express Air</v>
          </cell>
          <cell r="O758">
            <v>42397</v>
          </cell>
          <cell r="P758">
            <v>2.41</v>
          </cell>
          <cell r="Q758">
            <v>3.71</v>
          </cell>
          <cell r="R758">
            <v>1.2999999999999998</v>
          </cell>
          <cell r="S758">
            <v>16</v>
          </cell>
          <cell r="T758">
            <v>59.36</v>
          </cell>
          <cell r="V758">
            <v>5.9359999999999999</v>
          </cell>
          <cell r="W758">
            <v>53.423999999999999</v>
          </cell>
          <cell r="X758">
            <v>1.93</v>
          </cell>
          <cell r="Y758">
            <v>55.353999999999999</v>
          </cell>
        </row>
        <row r="759">
          <cell r="A759" t="str">
            <v>6181-1</v>
          </cell>
          <cell r="B759">
            <v>42397</v>
          </cell>
          <cell r="C759" t="str">
            <v>2016</v>
          </cell>
          <cell r="D759" t="str">
            <v>Patrick ODonnell</v>
          </cell>
          <cell r="E759" t="str">
            <v>21 Wentworth St,Parramatta</v>
          </cell>
          <cell r="F759" t="str">
            <v>Sydney</v>
          </cell>
          <cell r="G759" t="str">
            <v>NSW</v>
          </cell>
          <cell r="H759" t="str">
            <v>Home Office</v>
          </cell>
          <cell r="I759" t="str">
            <v>Aanya Zhang</v>
          </cell>
          <cell r="J759" t="str">
            <v>Medium</v>
          </cell>
          <cell r="K759" t="str">
            <v>Adesso Programmable 142-Key Keyboard</v>
          </cell>
          <cell r="L759" t="str">
            <v>Technology</v>
          </cell>
          <cell r="M759" t="str">
            <v>Small Box</v>
          </cell>
          <cell r="N759" t="str">
            <v>Regular Air</v>
          </cell>
          <cell r="O759">
            <v>42398</v>
          </cell>
          <cell r="P759">
            <v>39.64</v>
          </cell>
          <cell r="Q759">
            <v>152.47999999999999</v>
          </cell>
          <cell r="R759">
            <v>112.83999999999999</v>
          </cell>
          <cell r="S759">
            <v>27</v>
          </cell>
          <cell r="T759">
            <v>4116.96</v>
          </cell>
          <cell r="V759">
            <v>411.69600000000003</v>
          </cell>
          <cell r="W759">
            <v>3705.2640000000001</v>
          </cell>
          <cell r="X759">
            <v>6.5</v>
          </cell>
          <cell r="Y759">
            <v>3711.7640000000001</v>
          </cell>
        </row>
        <row r="760">
          <cell r="A760" t="str">
            <v>6183-1</v>
          </cell>
          <cell r="B760">
            <v>42397</v>
          </cell>
          <cell r="C760" t="str">
            <v>2016</v>
          </cell>
          <cell r="D760" t="str">
            <v>Noel Staavos</v>
          </cell>
          <cell r="E760" t="str">
            <v>10/145 Newcastle Street</v>
          </cell>
          <cell r="F760" t="str">
            <v>Perth</v>
          </cell>
          <cell r="G760" t="str">
            <v>WA</v>
          </cell>
          <cell r="H760" t="str">
            <v>Home Office</v>
          </cell>
          <cell r="I760" t="str">
            <v>Mihael Khan</v>
          </cell>
          <cell r="J760" t="str">
            <v>Critical</v>
          </cell>
          <cell r="K760" t="str">
            <v>Unpadded Memo Slips</v>
          </cell>
          <cell r="L760" t="str">
            <v>Office Supplies</v>
          </cell>
          <cell r="M760" t="str">
            <v>Wrap Bag</v>
          </cell>
          <cell r="N760" t="str">
            <v>Regular Air</v>
          </cell>
          <cell r="O760">
            <v>42399</v>
          </cell>
          <cell r="P760">
            <v>2.59</v>
          </cell>
          <cell r="Q760">
            <v>3.98</v>
          </cell>
          <cell r="R760">
            <v>1.3900000000000001</v>
          </cell>
          <cell r="S760">
            <v>41</v>
          </cell>
          <cell r="T760">
            <v>163.18</v>
          </cell>
          <cell r="V760">
            <v>16.318000000000001</v>
          </cell>
          <cell r="W760">
            <v>146.86199999999999</v>
          </cell>
          <cell r="X760">
            <v>2.97</v>
          </cell>
          <cell r="Y760">
            <v>149.83199999999999</v>
          </cell>
        </row>
        <row r="761">
          <cell r="A761" t="str">
            <v>6184-1</v>
          </cell>
          <cell r="B761">
            <v>42398</v>
          </cell>
          <cell r="C761" t="str">
            <v>2016</v>
          </cell>
          <cell r="D761" t="str">
            <v>Bryan Spruell</v>
          </cell>
          <cell r="E761" t="str">
            <v>1 John Street,Waterloo</v>
          </cell>
          <cell r="F761" t="str">
            <v>Sydney</v>
          </cell>
          <cell r="G761" t="str">
            <v>NSW</v>
          </cell>
          <cell r="H761" t="str">
            <v>Home Office</v>
          </cell>
          <cell r="I761" t="str">
            <v>Charlie Bui</v>
          </cell>
          <cell r="J761" t="str">
            <v>Not Specified</v>
          </cell>
          <cell r="K761" t="str">
            <v>Pizazz Drawing Pencil Set</v>
          </cell>
          <cell r="L761" t="str">
            <v>Office Supplies</v>
          </cell>
          <cell r="M761" t="str">
            <v>Wrap Bag</v>
          </cell>
          <cell r="N761" t="str">
            <v>Regular Air</v>
          </cell>
          <cell r="O761">
            <v>42400</v>
          </cell>
          <cell r="P761">
            <v>1.53</v>
          </cell>
          <cell r="Q761">
            <v>2.78</v>
          </cell>
          <cell r="R761">
            <v>1.2499999999999998</v>
          </cell>
          <cell r="S761">
            <v>38</v>
          </cell>
          <cell r="T761">
            <v>105.63999999999999</v>
          </cell>
          <cell r="V761">
            <v>0</v>
          </cell>
          <cell r="W761">
            <v>105.63999999999999</v>
          </cell>
          <cell r="X761">
            <v>1.34</v>
          </cell>
          <cell r="Y761">
            <v>106.97999999999999</v>
          </cell>
        </row>
        <row r="762">
          <cell r="A762" t="str">
            <v>6185-1</v>
          </cell>
          <cell r="B762">
            <v>42401</v>
          </cell>
          <cell r="C762" t="str">
            <v>2016</v>
          </cell>
          <cell r="D762" t="str">
            <v>Patrick Gardner</v>
          </cell>
          <cell r="E762" t="str">
            <v>224A Gertrude St,Fitzroy</v>
          </cell>
          <cell r="F762" t="str">
            <v>Melbourne</v>
          </cell>
          <cell r="G762" t="str">
            <v>VIC</v>
          </cell>
          <cell r="H762" t="str">
            <v>Consumer</v>
          </cell>
          <cell r="I762" t="str">
            <v>Connor Betts</v>
          </cell>
          <cell r="J762" t="str">
            <v>High</v>
          </cell>
          <cell r="K762" t="str">
            <v>Artisan Reinforcements for Hole-Punch Pages</v>
          </cell>
          <cell r="L762" t="str">
            <v>Office Supplies</v>
          </cell>
          <cell r="M762" t="str">
            <v>Small Box</v>
          </cell>
          <cell r="N762" t="str">
            <v>Regular Air</v>
          </cell>
          <cell r="O762">
            <v>42402</v>
          </cell>
          <cell r="P762">
            <v>1.19</v>
          </cell>
          <cell r="Q762">
            <v>1.98</v>
          </cell>
          <cell r="R762">
            <v>0.79</v>
          </cell>
          <cell r="S762">
            <v>12</v>
          </cell>
          <cell r="T762">
            <v>23.759999999999998</v>
          </cell>
          <cell r="V762">
            <v>1.6632</v>
          </cell>
          <cell r="W762">
            <v>22.096799999999998</v>
          </cell>
          <cell r="X762">
            <v>4.7699999999999996</v>
          </cell>
          <cell r="Y762">
            <v>26.866799999999998</v>
          </cell>
        </row>
        <row r="763">
          <cell r="A763" t="str">
            <v>6186-1</v>
          </cell>
          <cell r="B763">
            <v>42402</v>
          </cell>
          <cell r="C763" t="str">
            <v>2016</v>
          </cell>
          <cell r="D763" t="str">
            <v>Paul Knutson</v>
          </cell>
          <cell r="E763" t="str">
            <v>1/173-179 Bronte Rd,Waverley</v>
          </cell>
          <cell r="F763" t="str">
            <v>Sydney</v>
          </cell>
          <cell r="G763" t="str">
            <v>NSW</v>
          </cell>
          <cell r="H763" t="str">
            <v>Corporate</v>
          </cell>
          <cell r="I763" t="str">
            <v>Leighton Forrest</v>
          </cell>
          <cell r="J763" t="str">
            <v>Critical</v>
          </cell>
          <cell r="K763" t="str">
            <v>Cando PC940 Copier</v>
          </cell>
          <cell r="L763" t="str">
            <v>Technology</v>
          </cell>
          <cell r="M763" t="str">
            <v>Jumbo Drum</v>
          </cell>
          <cell r="N763" t="str">
            <v>Delivery Truck</v>
          </cell>
          <cell r="O763">
            <v>42403</v>
          </cell>
          <cell r="P763">
            <v>278.99</v>
          </cell>
          <cell r="Q763">
            <v>449.99</v>
          </cell>
          <cell r="R763">
            <v>171</v>
          </cell>
          <cell r="S763">
            <v>16</v>
          </cell>
          <cell r="T763">
            <v>7199.84</v>
          </cell>
          <cell r="V763">
            <v>647.98559999999998</v>
          </cell>
          <cell r="W763">
            <v>6551.8544000000002</v>
          </cell>
          <cell r="X763">
            <v>49</v>
          </cell>
          <cell r="Y763">
            <v>6600.8544000000002</v>
          </cell>
        </row>
        <row r="764">
          <cell r="A764" t="str">
            <v>6187-1</v>
          </cell>
          <cell r="B764">
            <v>42403</v>
          </cell>
          <cell r="C764" t="str">
            <v>2016</v>
          </cell>
          <cell r="D764" t="str">
            <v>Darrin Martin</v>
          </cell>
          <cell r="E764" t="str">
            <v>221 Barkly St,St Kilda</v>
          </cell>
          <cell r="F764" t="str">
            <v>Melbourne</v>
          </cell>
          <cell r="G764" t="str">
            <v>VIC</v>
          </cell>
          <cell r="H764" t="str">
            <v>Small Business</v>
          </cell>
          <cell r="I764" t="str">
            <v>Yvette Biti</v>
          </cell>
          <cell r="J764" t="str">
            <v>Low</v>
          </cell>
          <cell r="K764" t="str">
            <v>Smiths Bulk Pack Metal Binder Clips</v>
          </cell>
          <cell r="L764" t="str">
            <v>Office Supplies</v>
          </cell>
          <cell r="M764" t="str">
            <v>Wrap Bag</v>
          </cell>
          <cell r="N764" t="str">
            <v>Regular Air</v>
          </cell>
          <cell r="O764">
            <v>42405</v>
          </cell>
          <cell r="P764">
            <v>3.95</v>
          </cell>
          <cell r="Q764">
            <v>6.08</v>
          </cell>
          <cell r="R764">
            <v>2.13</v>
          </cell>
          <cell r="S764">
            <v>42</v>
          </cell>
          <cell r="T764">
            <v>255.36</v>
          </cell>
          <cell r="V764">
            <v>22.982400000000002</v>
          </cell>
          <cell r="W764">
            <v>232.3776</v>
          </cell>
          <cell r="X764">
            <v>1.82</v>
          </cell>
          <cell r="Y764">
            <v>234.19759999999999</v>
          </cell>
        </row>
        <row r="765">
          <cell r="A765" t="str">
            <v>6189-1</v>
          </cell>
          <cell r="B765">
            <v>42404</v>
          </cell>
          <cell r="C765" t="str">
            <v>2016</v>
          </cell>
          <cell r="D765" t="str">
            <v>Cyma Kinney</v>
          </cell>
          <cell r="E765" t="str">
            <v>10 Lake Street</v>
          </cell>
          <cell r="F765" t="str">
            <v>Perth</v>
          </cell>
          <cell r="G765" t="str">
            <v>WA</v>
          </cell>
          <cell r="H765" t="str">
            <v>Small Business</v>
          </cell>
          <cell r="I765" t="str">
            <v>Phoebe Gour</v>
          </cell>
          <cell r="J765" t="str">
            <v>Not Specified</v>
          </cell>
          <cell r="K765" t="str">
            <v>Steady 52201 APSCO Electric Pencil Sharpener</v>
          </cell>
          <cell r="L765" t="str">
            <v>Office Supplies</v>
          </cell>
          <cell r="M765" t="str">
            <v>Small Pack</v>
          </cell>
          <cell r="N765" t="str">
            <v>Express Air</v>
          </cell>
          <cell r="O765">
            <v>42405</v>
          </cell>
          <cell r="P765">
            <v>16.8</v>
          </cell>
          <cell r="Q765">
            <v>40.97</v>
          </cell>
          <cell r="R765">
            <v>24.169999999999998</v>
          </cell>
          <cell r="S765">
            <v>49</v>
          </cell>
          <cell r="T765">
            <v>2007.53</v>
          </cell>
          <cell r="V765">
            <v>80.301199999999994</v>
          </cell>
          <cell r="W765">
            <v>1927.2287999999999</v>
          </cell>
          <cell r="X765">
            <v>8.99</v>
          </cell>
          <cell r="Y765">
            <v>1936.2187999999999</v>
          </cell>
        </row>
        <row r="766">
          <cell r="A766" t="str">
            <v>6190-1</v>
          </cell>
          <cell r="B766">
            <v>42408</v>
          </cell>
          <cell r="C766" t="str">
            <v>2016</v>
          </cell>
          <cell r="D766" t="str">
            <v>Ed Braxton</v>
          </cell>
          <cell r="E766" t="str">
            <v>499-501 Lygon Street,Carlton North</v>
          </cell>
          <cell r="F766" t="str">
            <v>Melbourne</v>
          </cell>
          <cell r="G766" t="str">
            <v>VIC</v>
          </cell>
          <cell r="H766" t="str">
            <v>Home Office</v>
          </cell>
          <cell r="I766" t="str">
            <v>Yvette Biti</v>
          </cell>
          <cell r="J766" t="str">
            <v>Medium</v>
          </cell>
          <cell r="K766" t="str">
            <v>DrawIt Colored Pencils, 48-Color Set</v>
          </cell>
          <cell r="L766" t="str">
            <v>Office Supplies</v>
          </cell>
          <cell r="M766" t="str">
            <v>Wrap Bag</v>
          </cell>
          <cell r="N766" t="str">
            <v>Regular Air</v>
          </cell>
          <cell r="O766">
            <v>42409</v>
          </cell>
          <cell r="P766">
            <v>21.56</v>
          </cell>
          <cell r="Q766">
            <v>36.549999999999997</v>
          </cell>
          <cell r="R766">
            <v>14.989999999999998</v>
          </cell>
          <cell r="S766">
            <v>6</v>
          </cell>
          <cell r="T766">
            <v>219.29999999999998</v>
          </cell>
          <cell r="V766">
            <v>2.1930000000000001</v>
          </cell>
          <cell r="W766">
            <v>217.10699999999997</v>
          </cell>
          <cell r="X766">
            <v>13.89</v>
          </cell>
          <cell r="Y766">
            <v>230.99699999999996</v>
          </cell>
        </row>
        <row r="767">
          <cell r="A767" t="str">
            <v>6191-1</v>
          </cell>
          <cell r="B767">
            <v>42409</v>
          </cell>
          <cell r="C767" t="str">
            <v>2016</v>
          </cell>
          <cell r="D767" t="str">
            <v>Roy Skaria</v>
          </cell>
          <cell r="E767" t="str">
            <v>2/797 Botany Rd,Rosebery</v>
          </cell>
          <cell r="F767" t="str">
            <v>Sydney</v>
          </cell>
          <cell r="G767" t="str">
            <v>NSW</v>
          </cell>
          <cell r="H767" t="str">
            <v>Corporate</v>
          </cell>
          <cell r="I767" t="str">
            <v>Samantha Chairs</v>
          </cell>
          <cell r="J767" t="str">
            <v>Low</v>
          </cell>
          <cell r="K767" t="str">
            <v>Unpadded Memo Slips</v>
          </cell>
          <cell r="L767" t="str">
            <v>Office Supplies</v>
          </cell>
          <cell r="M767" t="str">
            <v>Wrap Bag</v>
          </cell>
          <cell r="N767" t="str">
            <v>Regular Air</v>
          </cell>
          <cell r="O767">
            <v>42414</v>
          </cell>
          <cell r="P767">
            <v>2.59</v>
          </cell>
          <cell r="Q767">
            <v>3.98</v>
          </cell>
          <cell r="R767">
            <v>1.3900000000000001</v>
          </cell>
          <cell r="S767">
            <v>50</v>
          </cell>
          <cell r="T767">
            <v>199</v>
          </cell>
          <cell r="V767">
            <v>15.92</v>
          </cell>
          <cell r="W767">
            <v>183.08</v>
          </cell>
          <cell r="X767">
            <v>2.97</v>
          </cell>
          <cell r="Y767">
            <v>186.05</v>
          </cell>
        </row>
        <row r="768">
          <cell r="A768" t="str">
            <v>6193-1</v>
          </cell>
          <cell r="B768">
            <v>42410</v>
          </cell>
          <cell r="C768" t="str">
            <v>2016</v>
          </cell>
          <cell r="D768" t="str">
            <v>Roy Skaria</v>
          </cell>
          <cell r="E768" t="str">
            <v>2/797 Botany Rd,Rosebery</v>
          </cell>
          <cell r="F768" t="str">
            <v>Sydney</v>
          </cell>
          <cell r="G768" t="str">
            <v>NSW</v>
          </cell>
          <cell r="H768" t="str">
            <v>Corporate</v>
          </cell>
          <cell r="I768" t="str">
            <v>Samantha Chairs</v>
          </cell>
          <cell r="J768" t="str">
            <v>Medium</v>
          </cell>
          <cell r="K768" t="str">
            <v>PastelOcean Color Pencil Set</v>
          </cell>
          <cell r="L768" t="str">
            <v>Office Supplies</v>
          </cell>
          <cell r="M768" t="str">
            <v>Wrap Bag</v>
          </cell>
          <cell r="N768" t="str">
            <v>Regular Air</v>
          </cell>
          <cell r="O768">
            <v>42411</v>
          </cell>
          <cell r="P768">
            <v>11.11</v>
          </cell>
          <cell r="Q768">
            <v>19.84</v>
          </cell>
          <cell r="R768">
            <v>8.73</v>
          </cell>
          <cell r="S768">
            <v>10</v>
          </cell>
          <cell r="T768">
            <v>198.4</v>
          </cell>
          <cell r="V768">
            <v>9.9200000000000017</v>
          </cell>
          <cell r="W768">
            <v>188.48000000000002</v>
          </cell>
          <cell r="X768">
            <v>4.0999999999999996</v>
          </cell>
          <cell r="Y768">
            <v>192.58</v>
          </cell>
        </row>
        <row r="769">
          <cell r="A769" t="str">
            <v>6194-1</v>
          </cell>
          <cell r="B769">
            <v>42411</v>
          </cell>
          <cell r="C769" t="str">
            <v>2016</v>
          </cell>
          <cell r="D769" t="str">
            <v>Ralph Knight</v>
          </cell>
          <cell r="E769" t="str">
            <v>5/63-71 Enmore Rd,Newtown</v>
          </cell>
          <cell r="F769" t="str">
            <v>Sydney</v>
          </cell>
          <cell r="G769" t="str">
            <v>NSW</v>
          </cell>
          <cell r="H769" t="str">
            <v>Consumer</v>
          </cell>
          <cell r="I769" t="str">
            <v>Charlie Bui</v>
          </cell>
          <cell r="J769" t="str">
            <v>Medium</v>
          </cell>
          <cell r="K769" t="str">
            <v>600 Series Flip</v>
          </cell>
          <cell r="L769" t="str">
            <v>Technology</v>
          </cell>
          <cell r="M769" t="str">
            <v>Small Box</v>
          </cell>
          <cell r="N769" t="str">
            <v>Regular Air</v>
          </cell>
          <cell r="O769">
            <v>42413</v>
          </cell>
          <cell r="P769">
            <v>41.28</v>
          </cell>
          <cell r="Q769">
            <v>95.99</v>
          </cell>
          <cell r="R769">
            <v>54.709999999999994</v>
          </cell>
          <cell r="S769">
            <v>14</v>
          </cell>
          <cell r="T769">
            <v>1343.86</v>
          </cell>
          <cell r="V769">
            <v>53.754399999999997</v>
          </cell>
          <cell r="W769">
            <v>1290.1055999999999</v>
          </cell>
          <cell r="X769">
            <v>8.99</v>
          </cell>
          <cell r="Y769">
            <v>1299.0955999999999</v>
          </cell>
        </row>
        <row r="770">
          <cell r="A770" t="str">
            <v>6196-1</v>
          </cell>
          <cell r="B770">
            <v>42411</v>
          </cell>
          <cell r="C770" t="str">
            <v>2016</v>
          </cell>
          <cell r="D770" t="str">
            <v>Eva Jacobs</v>
          </cell>
          <cell r="E770" t="str">
            <v>Westfield 1 Anderson St,Chatswood</v>
          </cell>
          <cell r="F770" t="str">
            <v>Sydney</v>
          </cell>
          <cell r="G770" t="str">
            <v>NSW</v>
          </cell>
          <cell r="H770" t="str">
            <v>Home Office</v>
          </cell>
          <cell r="I770" t="str">
            <v>Nicholas Fernandes</v>
          </cell>
          <cell r="J770" t="str">
            <v>Low</v>
          </cell>
          <cell r="K770" t="str">
            <v>Multimedia Mailers</v>
          </cell>
          <cell r="L770" t="str">
            <v>Office Supplies</v>
          </cell>
          <cell r="M770" t="str">
            <v>Small Box</v>
          </cell>
          <cell r="N770" t="str">
            <v>Regular Air</v>
          </cell>
          <cell r="O770">
            <v>42420</v>
          </cell>
          <cell r="P770">
            <v>99.39</v>
          </cell>
          <cell r="Q770">
            <v>162.93</v>
          </cell>
          <cell r="R770">
            <v>63.540000000000006</v>
          </cell>
          <cell r="S770">
            <v>22</v>
          </cell>
          <cell r="T770">
            <v>3584.46</v>
          </cell>
          <cell r="V770">
            <v>250.91220000000001</v>
          </cell>
          <cell r="W770">
            <v>3333.5477999999998</v>
          </cell>
          <cell r="X770">
            <v>19.989999999999998</v>
          </cell>
          <cell r="Y770">
            <v>3353.5377999999996</v>
          </cell>
        </row>
        <row r="771">
          <cell r="A771" t="str">
            <v>6197-1</v>
          </cell>
          <cell r="B771">
            <v>42412</v>
          </cell>
          <cell r="C771" t="str">
            <v>2016</v>
          </cell>
          <cell r="D771" t="str">
            <v>Alejandro Ballentine</v>
          </cell>
          <cell r="E771" t="str">
            <v>412 Brunswick St,Fitzroy</v>
          </cell>
          <cell r="F771" t="str">
            <v>Melbourne</v>
          </cell>
          <cell r="G771" t="str">
            <v>VIC</v>
          </cell>
          <cell r="H771" t="str">
            <v>Small Business</v>
          </cell>
          <cell r="I771" t="str">
            <v>Connor Betts</v>
          </cell>
          <cell r="J771" t="str">
            <v>Critical</v>
          </cell>
          <cell r="K771" t="str">
            <v>Lumi Crayons</v>
          </cell>
          <cell r="L771" t="str">
            <v>Office Supplies</v>
          </cell>
          <cell r="M771" t="str">
            <v>Wrap Bag</v>
          </cell>
          <cell r="N771" t="str">
            <v>Regular Air</v>
          </cell>
          <cell r="O771">
            <v>42413</v>
          </cell>
          <cell r="P771">
            <v>5.22</v>
          </cell>
          <cell r="Q771">
            <v>9.85</v>
          </cell>
          <cell r="R771">
            <v>4.63</v>
          </cell>
          <cell r="S771">
            <v>48</v>
          </cell>
          <cell r="T771">
            <v>472.79999999999995</v>
          </cell>
          <cell r="V771">
            <v>42.551999999999992</v>
          </cell>
          <cell r="W771">
            <v>430.24799999999993</v>
          </cell>
          <cell r="X771">
            <v>4.82</v>
          </cell>
          <cell r="Y771">
            <v>435.06799999999993</v>
          </cell>
        </row>
        <row r="772">
          <cell r="A772" t="str">
            <v>6197-2</v>
          </cell>
          <cell r="B772">
            <v>42412</v>
          </cell>
          <cell r="C772" t="str">
            <v>2016</v>
          </cell>
          <cell r="D772" t="str">
            <v>Alejandro Ballentine</v>
          </cell>
          <cell r="E772" t="str">
            <v>412 Brunswick St,Fitzroy</v>
          </cell>
          <cell r="F772" t="str">
            <v>Melbourne</v>
          </cell>
          <cell r="G772" t="str">
            <v>VIC</v>
          </cell>
          <cell r="H772" t="str">
            <v>Small Business</v>
          </cell>
          <cell r="I772" t="str">
            <v>Connor Betts</v>
          </cell>
          <cell r="J772" t="str">
            <v>Critical</v>
          </cell>
          <cell r="K772" t="str">
            <v>Pizazz Colored Pencils</v>
          </cell>
          <cell r="L772" t="str">
            <v>Office Supplies</v>
          </cell>
          <cell r="M772" t="str">
            <v>Wrap Bag</v>
          </cell>
          <cell r="N772" t="str">
            <v>Regular Air</v>
          </cell>
          <cell r="O772">
            <v>42413</v>
          </cell>
          <cell r="P772">
            <v>1.76</v>
          </cell>
          <cell r="Q772">
            <v>2.94</v>
          </cell>
          <cell r="R772">
            <v>1.18</v>
          </cell>
          <cell r="S772">
            <v>18</v>
          </cell>
          <cell r="T772">
            <v>52.92</v>
          </cell>
          <cell r="V772">
            <v>0.5292</v>
          </cell>
          <cell r="W772">
            <v>52.390799999999999</v>
          </cell>
          <cell r="X772">
            <v>0.81</v>
          </cell>
          <cell r="Y772">
            <v>53.200800000000001</v>
          </cell>
        </row>
        <row r="773">
          <cell r="A773" t="str">
            <v>6201-1</v>
          </cell>
          <cell r="B773">
            <v>42413</v>
          </cell>
          <cell r="C773" t="str">
            <v>2016</v>
          </cell>
          <cell r="D773" t="str">
            <v>Gary Hansen</v>
          </cell>
          <cell r="E773" t="str">
            <v>273 George Street,Sydney</v>
          </cell>
          <cell r="F773" t="str">
            <v>Sydney</v>
          </cell>
          <cell r="G773" t="str">
            <v>NSW</v>
          </cell>
          <cell r="H773" t="str">
            <v>Consumer</v>
          </cell>
          <cell r="I773" t="str">
            <v>Leighton Forrest</v>
          </cell>
          <cell r="J773" t="str">
            <v>High</v>
          </cell>
          <cell r="K773" t="str">
            <v>Aluminum Document Frame</v>
          </cell>
          <cell r="L773" t="str">
            <v>Furniture</v>
          </cell>
          <cell r="M773" t="str">
            <v>Small Pack</v>
          </cell>
          <cell r="N773" t="str">
            <v>Regular Air</v>
          </cell>
          <cell r="O773">
            <v>42414</v>
          </cell>
          <cell r="P773">
            <v>5.5</v>
          </cell>
          <cell r="Q773">
            <v>12.22</v>
          </cell>
          <cell r="R773">
            <v>6.7200000000000006</v>
          </cell>
          <cell r="S773">
            <v>10</v>
          </cell>
          <cell r="T773">
            <v>122.2</v>
          </cell>
          <cell r="V773">
            <v>12.22</v>
          </cell>
          <cell r="W773">
            <v>109.98</v>
          </cell>
          <cell r="X773">
            <v>2.85</v>
          </cell>
          <cell r="Y773">
            <v>112.83</v>
          </cell>
        </row>
        <row r="774">
          <cell r="A774" t="str">
            <v>6203-1</v>
          </cell>
          <cell r="B774">
            <v>42413</v>
          </cell>
          <cell r="C774" t="str">
            <v>2016</v>
          </cell>
          <cell r="D774" t="str">
            <v>Scot Coram</v>
          </cell>
          <cell r="E774" t="str">
            <v>2-4 College Street, Darlinghurst</v>
          </cell>
          <cell r="F774" t="str">
            <v>Sydney</v>
          </cell>
          <cell r="G774" t="str">
            <v>NSW</v>
          </cell>
          <cell r="H774" t="str">
            <v>Corporate</v>
          </cell>
          <cell r="I774" t="str">
            <v>Nicholas Fernandes</v>
          </cell>
          <cell r="J774" t="str">
            <v>High</v>
          </cell>
          <cell r="K774" t="str">
            <v>Apex Box Cutter Scissors</v>
          </cell>
          <cell r="L774" t="str">
            <v>Office Supplies</v>
          </cell>
          <cell r="M774" t="str">
            <v>Small Pack</v>
          </cell>
          <cell r="N774" t="str">
            <v>Express Air</v>
          </cell>
          <cell r="O774">
            <v>42416</v>
          </cell>
          <cell r="P774">
            <v>4.1900000000000004</v>
          </cell>
          <cell r="Q774">
            <v>10.23</v>
          </cell>
          <cell r="R774">
            <v>6.04</v>
          </cell>
          <cell r="S774">
            <v>19</v>
          </cell>
          <cell r="T774">
            <v>194.37</v>
          </cell>
          <cell r="V774">
            <v>15.5496</v>
          </cell>
          <cell r="W774">
            <v>178.82040000000001</v>
          </cell>
          <cell r="X774">
            <v>4.68</v>
          </cell>
          <cell r="Y774">
            <v>183.50040000000001</v>
          </cell>
        </row>
        <row r="775">
          <cell r="A775" t="str">
            <v>6204-1</v>
          </cell>
          <cell r="B775">
            <v>42413</v>
          </cell>
          <cell r="C775" t="str">
            <v>2016</v>
          </cell>
          <cell r="D775" t="str">
            <v>Pete Armstrong</v>
          </cell>
          <cell r="E775" t="str">
            <v>506 Swan Street,Richmond</v>
          </cell>
          <cell r="F775" t="str">
            <v>Melbourne</v>
          </cell>
          <cell r="G775" t="str">
            <v>VIC</v>
          </cell>
          <cell r="H775" t="str">
            <v>Consumer</v>
          </cell>
          <cell r="I775" t="str">
            <v>Connor Betts</v>
          </cell>
          <cell r="J775" t="str">
            <v>High</v>
          </cell>
          <cell r="K775" t="str">
            <v>Wirebound Voice Message Log Book</v>
          </cell>
          <cell r="L775" t="str">
            <v>Office Supplies</v>
          </cell>
          <cell r="M775" t="str">
            <v>Wrap Bag</v>
          </cell>
          <cell r="N775" t="str">
            <v>Regular Air</v>
          </cell>
          <cell r="O775">
            <v>42416</v>
          </cell>
          <cell r="P775">
            <v>2.9</v>
          </cell>
          <cell r="Q775">
            <v>4.76</v>
          </cell>
          <cell r="R775">
            <v>1.8599999999999999</v>
          </cell>
          <cell r="S775">
            <v>33</v>
          </cell>
          <cell r="T775">
            <v>157.07999999999998</v>
          </cell>
          <cell r="V775">
            <v>9.4247999999999994</v>
          </cell>
          <cell r="W775">
            <v>147.65519999999998</v>
          </cell>
          <cell r="X775">
            <v>0.88</v>
          </cell>
          <cell r="Y775">
            <v>148.53519999999997</v>
          </cell>
        </row>
        <row r="776">
          <cell r="A776" t="str">
            <v>6206-1</v>
          </cell>
          <cell r="B776">
            <v>42416</v>
          </cell>
          <cell r="C776" t="str">
            <v>2016</v>
          </cell>
          <cell r="D776" t="str">
            <v>Dionis Lloyd</v>
          </cell>
          <cell r="E776" t="str">
            <v>85-113 Dunning Ave,Rosebery</v>
          </cell>
          <cell r="F776" t="str">
            <v>Sydney</v>
          </cell>
          <cell r="G776" t="str">
            <v>NSW</v>
          </cell>
          <cell r="H776" t="str">
            <v>Small Business</v>
          </cell>
          <cell r="I776" t="str">
            <v>Mihael Khan</v>
          </cell>
          <cell r="J776" t="str">
            <v>Not Specified</v>
          </cell>
          <cell r="K776" t="str">
            <v>Angle-D Binders with Locking Rings, Label Holders</v>
          </cell>
          <cell r="L776" t="str">
            <v>Office Supplies</v>
          </cell>
          <cell r="M776" t="str">
            <v>Small Box</v>
          </cell>
          <cell r="N776" t="str">
            <v>Regular Air</v>
          </cell>
          <cell r="O776">
            <v>42417</v>
          </cell>
          <cell r="P776">
            <v>4.53</v>
          </cell>
          <cell r="Q776">
            <v>7.3</v>
          </cell>
          <cell r="R776">
            <v>2.7699999999999996</v>
          </cell>
          <cell r="S776">
            <v>36</v>
          </cell>
          <cell r="T776">
            <v>262.8</v>
          </cell>
          <cell r="V776">
            <v>26.28</v>
          </cell>
          <cell r="W776">
            <v>236.52</v>
          </cell>
          <cell r="X776">
            <v>7.72</v>
          </cell>
          <cell r="Y776">
            <v>244.24</v>
          </cell>
        </row>
        <row r="777">
          <cell r="A777" t="str">
            <v>6208-1</v>
          </cell>
          <cell r="B777">
            <v>42416</v>
          </cell>
          <cell r="C777" t="str">
            <v>2016</v>
          </cell>
          <cell r="D777" t="str">
            <v>Don Jones</v>
          </cell>
          <cell r="E777" t="str">
            <v>6-8 O'Connell Street,Newtown</v>
          </cell>
          <cell r="F777" t="str">
            <v>Sydney</v>
          </cell>
          <cell r="G777" t="str">
            <v>NSW</v>
          </cell>
          <cell r="H777" t="str">
            <v>Corporate</v>
          </cell>
          <cell r="I777" t="str">
            <v>Nicholas Fernandes</v>
          </cell>
          <cell r="J777" t="str">
            <v>Low</v>
          </cell>
          <cell r="K777" t="str">
            <v>Unpadded Memo Slips</v>
          </cell>
          <cell r="L777" t="str">
            <v>Office Supplies</v>
          </cell>
          <cell r="M777" t="str">
            <v>Wrap Bag</v>
          </cell>
          <cell r="N777" t="str">
            <v>Regular Air</v>
          </cell>
          <cell r="O777">
            <v>42421</v>
          </cell>
          <cell r="P777">
            <v>2.59</v>
          </cell>
          <cell r="Q777">
            <v>3.98</v>
          </cell>
          <cell r="R777">
            <v>1.3900000000000001</v>
          </cell>
          <cell r="S777">
            <v>11</v>
          </cell>
          <cell r="T777">
            <v>43.78</v>
          </cell>
          <cell r="V777">
            <v>0.43780000000000002</v>
          </cell>
          <cell r="W777">
            <v>43.342199999999998</v>
          </cell>
          <cell r="X777">
            <v>2.97</v>
          </cell>
          <cell r="Y777">
            <v>46.312199999999997</v>
          </cell>
        </row>
        <row r="778">
          <cell r="A778" t="str">
            <v>6209-1</v>
          </cell>
          <cell r="B778">
            <v>42417</v>
          </cell>
          <cell r="C778" t="str">
            <v>2016</v>
          </cell>
          <cell r="D778" t="str">
            <v>Tony Sayre</v>
          </cell>
          <cell r="E778" t="str">
            <v>499-501 Lygon Street,Carlton North</v>
          </cell>
          <cell r="F778" t="str">
            <v>Melbourne</v>
          </cell>
          <cell r="G778" t="str">
            <v>VIC</v>
          </cell>
          <cell r="H778" t="str">
            <v>Home Office</v>
          </cell>
          <cell r="I778" t="str">
            <v>Yvette Biti</v>
          </cell>
          <cell r="J778" t="str">
            <v>Not Specified</v>
          </cell>
          <cell r="K778" t="str">
            <v>Smiths Metal Binder Clips</v>
          </cell>
          <cell r="L778" t="str">
            <v>Office Supplies</v>
          </cell>
          <cell r="M778" t="str">
            <v>Wrap Bag</v>
          </cell>
          <cell r="N778" t="str">
            <v>Regular Air</v>
          </cell>
          <cell r="O778">
            <v>42418</v>
          </cell>
          <cell r="P778">
            <v>1.6</v>
          </cell>
          <cell r="Q778">
            <v>2.62</v>
          </cell>
          <cell r="R778">
            <v>1.02</v>
          </cell>
          <cell r="S778">
            <v>48</v>
          </cell>
          <cell r="T778">
            <v>125.76</v>
          </cell>
          <cell r="V778">
            <v>12.576000000000001</v>
          </cell>
          <cell r="W778">
            <v>113.184</v>
          </cell>
          <cell r="X778">
            <v>0.8</v>
          </cell>
          <cell r="Y778">
            <v>113.98399999999999</v>
          </cell>
        </row>
        <row r="779">
          <cell r="A779" t="str">
            <v>6211-1</v>
          </cell>
          <cell r="B779">
            <v>42420</v>
          </cell>
          <cell r="C779" t="str">
            <v>2016</v>
          </cell>
          <cell r="D779" t="str">
            <v>Andy Reiter</v>
          </cell>
          <cell r="E779" t="str">
            <v>29 Wellington Street, Perth</v>
          </cell>
          <cell r="F779" t="str">
            <v>Melbourne</v>
          </cell>
          <cell r="G779" t="str">
            <v>VIC</v>
          </cell>
          <cell r="H779" t="str">
            <v>Corporate</v>
          </cell>
          <cell r="I779" t="str">
            <v>Yvette Biti</v>
          </cell>
          <cell r="J779" t="str">
            <v>Critical</v>
          </cell>
          <cell r="K779" t="str">
            <v>TechSavi Cordless Access Keyboard</v>
          </cell>
          <cell r="L779" t="str">
            <v>Technology</v>
          </cell>
          <cell r="M779" t="str">
            <v>Small Box</v>
          </cell>
          <cell r="N779" t="str">
            <v>Regular Air</v>
          </cell>
          <cell r="O779">
            <v>42422</v>
          </cell>
          <cell r="P779">
            <v>14.7</v>
          </cell>
          <cell r="Q779">
            <v>29.99</v>
          </cell>
          <cell r="R779">
            <v>15.29</v>
          </cell>
          <cell r="S779">
            <v>11</v>
          </cell>
          <cell r="T779">
            <v>329.89</v>
          </cell>
          <cell r="V779">
            <v>26.391199999999998</v>
          </cell>
          <cell r="W779">
            <v>303.49879999999996</v>
          </cell>
          <cell r="X779">
            <v>5.5</v>
          </cell>
          <cell r="Y779">
            <v>308.99879999999996</v>
          </cell>
        </row>
        <row r="780">
          <cell r="A780" t="str">
            <v>6213-1</v>
          </cell>
          <cell r="B780">
            <v>42422</v>
          </cell>
          <cell r="C780" t="str">
            <v>2016</v>
          </cell>
          <cell r="D780" t="str">
            <v>Clay Cheatham</v>
          </cell>
          <cell r="E780" t="str">
            <v>Macquarie Centre Cnr Herring Road &amp; Waterloo Road,Macquarie Park</v>
          </cell>
          <cell r="F780" t="str">
            <v>Sydney</v>
          </cell>
          <cell r="G780" t="str">
            <v>NSW</v>
          </cell>
          <cell r="H780" t="str">
            <v>Small Business</v>
          </cell>
          <cell r="I780" t="str">
            <v>Nicholas Fernandes</v>
          </cell>
          <cell r="J780" t="str">
            <v>Not Specified</v>
          </cell>
          <cell r="K780" t="str">
            <v>Cando PC940 Copier</v>
          </cell>
          <cell r="L780" t="str">
            <v>Technology</v>
          </cell>
          <cell r="M780" t="str">
            <v>Jumbo Drum</v>
          </cell>
          <cell r="N780" t="str">
            <v>Delivery Truck</v>
          </cell>
          <cell r="O780">
            <v>42423</v>
          </cell>
          <cell r="P780">
            <v>278.99</v>
          </cell>
          <cell r="Q780">
            <v>449.99</v>
          </cell>
          <cell r="R780">
            <v>171</v>
          </cell>
          <cell r="S780">
            <v>38</v>
          </cell>
          <cell r="T780">
            <v>17099.62</v>
          </cell>
          <cell r="V780">
            <v>170.99619999999999</v>
          </cell>
          <cell r="W780">
            <v>16928.623799999998</v>
          </cell>
          <cell r="X780">
            <v>49</v>
          </cell>
          <cell r="Y780">
            <v>16977.623799999998</v>
          </cell>
        </row>
        <row r="781">
          <cell r="A781" t="str">
            <v>6214-1</v>
          </cell>
          <cell r="B781">
            <v>42423</v>
          </cell>
          <cell r="C781" t="str">
            <v>2016</v>
          </cell>
          <cell r="D781" t="str">
            <v>Quincy Jones</v>
          </cell>
          <cell r="E781" t="str">
            <v>Shop 3/144 Waterloo Road,Greenacre</v>
          </cell>
          <cell r="F781" t="str">
            <v>Sydney</v>
          </cell>
          <cell r="G781" t="str">
            <v>NSW</v>
          </cell>
          <cell r="H781" t="str">
            <v>Small Business</v>
          </cell>
          <cell r="I781" t="str">
            <v>Samantha Chairs</v>
          </cell>
          <cell r="J781" t="str">
            <v>Medium</v>
          </cell>
          <cell r="K781" t="str">
            <v>Smiths Colored Bar Computer Paper</v>
          </cell>
          <cell r="L781" t="str">
            <v>Office Supplies</v>
          </cell>
          <cell r="M781" t="str">
            <v>Small Box</v>
          </cell>
          <cell r="N781" t="str">
            <v>Regular Air</v>
          </cell>
          <cell r="O781">
            <v>42424</v>
          </cell>
          <cell r="P781">
            <v>21.97</v>
          </cell>
          <cell r="Q781">
            <v>35.44</v>
          </cell>
          <cell r="R781">
            <v>13.469999999999999</v>
          </cell>
          <cell r="S781">
            <v>48</v>
          </cell>
          <cell r="T781">
            <v>1701.12</v>
          </cell>
          <cell r="V781">
            <v>136.08959999999999</v>
          </cell>
          <cell r="W781">
            <v>1565.0303999999999</v>
          </cell>
          <cell r="X781">
            <v>4.92</v>
          </cell>
          <cell r="Y781">
            <v>1569.9503999999999</v>
          </cell>
        </row>
        <row r="782">
          <cell r="A782" t="str">
            <v>6215-1</v>
          </cell>
          <cell r="B782">
            <v>42426</v>
          </cell>
          <cell r="C782" t="str">
            <v>2016</v>
          </cell>
          <cell r="D782" t="str">
            <v>Linda Southworth</v>
          </cell>
          <cell r="E782" t="str">
            <v>359 Crown Street,Surry Hills</v>
          </cell>
          <cell r="F782" t="str">
            <v>Sydney</v>
          </cell>
          <cell r="G782" t="str">
            <v>NSW</v>
          </cell>
          <cell r="H782" t="str">
            <v>Consumer</v>
          </cell>
          <cell r="I782" t="str">
            <v>Phoebe Gour</v>
          </cell>
          <cell r="J782" t="str">
            <v>Low</v>
          </cell>
          <cell r="K782" t="str">
            <v>Artisan Hi-Liter Smear-Safe Highlighters</v>
          </cell>
          <cell r="L782" t="str">
            <v>Office Supplies</v>
          </cell>
          <cell r="M782" t="str">
            <v>Wrap Bag</v>
          </cell>
          <cell r="N782" t="str">
            <v>Regular Air</v>
          </cell>
          <cell r="O782">
            <v>42433</v>
          </cell>
          <cell r="P782">
            <v>2.98</v>
          </cell>
          <cell r="Q782">
            <v>5.84</v>
          </cell>
          <cell r="R782">
            <v>2.86</v>
          </cell>
          <cell r="S782">
            <v>19</v>
          </cell>
          <cell r="T782">
            <v>110.96</v>
          </cell>
          <cell r="V782">
            <v>1.1095999999999999</v>
          </cell>
          <cell r="W782">
            <v>109.85039999999999</v>
          </cell>
          <cell r="X782">
            <v>0.83</v>
          </cell>
          <cell r="Y782">
            <v>110.68039999999999</v>
          </cell>
        </row>
        <row r="783">
          <cell r="A783" t="str">
            <v>6217-1</v>
          </cell>
          <cell r="B783">
            <v>42429</v>
          </cell>
          <cell r="C783" t="str">
            <v>2016</v>
          </cell>
          <cell r="D783" t="str">
            <v>Bill Donatelli</v>
          </cell>
          <cell r="E783" t="str">
            <v>8 Orange Street, Perth</v>
          </cell>
          <cell r="F783" t="str">
            <v>Perth</v>
          </cell>
          <cell r="G783" t="str">
            <v>WA</v>
          </cell>
          <cell r="H783" t="str">
            <v>Small Business</v>
          </cell>
          <cell r="I783" t="str">
            <v>Phoebe Gour</v>
          </cell>
          <cell r="J783" t="str">
            <v>Medium</v>
          </cell>
          <cell r="K783" t="str">
            <v>TypeRight Side-Opening Peel &amp; Seel Expanding Envelopes</v>
          </cell>
          <cell r="L783" t="str">
            <v>Office Supplies</v>
          </cell>
          <cell r="M783" t="str">
            <v>Small Box</v>
          </cell>
          <cell r="N783" t="str">
            <v>Regular Air</v>
          </cell>
          <cell r="O783">
            <v>42429</v>
          </cell>
          <cell r="P783">
            <v>54.29</v>
          </cell>
          <cell r="Q783">
            <v>90.48</v>
          </cell>
          <cell r="R783">
            <v>36.190000000000005</v>
          </cell>
          <cell r="S783">
            <v>16</v>
          </cell>
          <cell r="T783">
            <v>1447.68</v>
          </cell>
          <cell r="V783">
            <v>0</v>
          </cell>
          <cell r="W783">
            <v>1447.68</v>
          </cell>
          <cell r="X783">
            <v>19.989999999999998</v>
          </cell>
          <cell r="Y783">
            <v>1467.67</v>
          </cell>
        </row>
        <row r="784">
          <cell r="A784" t="str">
            <v>6219-1</v>
          </cell>
          <cell r="B784">
            <v>42434</v>
          </cell>
          <cell r="C784" t="str">
            <v>2016</v>
          </cell>
          <cell r="D784" t="str">
            <v>Steven Cartwright</v>
          </cell>
          <cell r="E784" t="str">
            <v>523 King St,Newtown</v>
          </cell>
          <cell r="F784" t="str">
            <v>Sydney</v>
          </cell>
          <cell r="G784" t="str">
            <v>NSW</v>
          </cell>
          <cell r="H784" t="str">
            <v>Home Office</v>
          </cell>
          <cell r="I784" t="str">
            <v>Aanya Zhang</v>
          </cell>
          <cell r="J784" t="str">
            <v>Low</v>
          </cell>
          <cell r="K784" t="str">
            <v>Steady Pocket Accent Highlighters</v>
          </cell>
          <cell r="L784" t="str">
            <v>Office Supplies</v>
          </cell>
          <cell r="M784" t="str">
            <v>Wrap Bag</v>
          </cell>
          <cell r="N784" t="str">
            <v>Regular Air</v>
          </cell>
          <cell r="O784">
            <v>42438</v>
          </cell>
          <cell r="P784">
            <v>0.93</v>
          </cell>
          <cell r="Q784">
            <v>1.6</v>
          </cell>
          <cell r="R784">
            <v>0.67</v>
          </cell>
          <cell r="S784">
            <v>43</v>
          </cell>
          <cell r="T784">
            <v>68.8</v>
          </cell>
          <cell r="V784">
            <v>0.68799999999999994</v>
          </cell>
          <cell r="W784">
            <v>68.111999999999995</v>
          </cell>
          <cell r="X784">
            <v>1.29</v>
          </cell>
          <cell r="Y784">
            <v>69.402000000000001</v>
          </cell>
        </row>
        <row r="785">
          <cell r="A785" t="str">
            <v>6220-1</v>
          </cell>
          <cell r="B785">
            <v>42435</v>
          </cell>
          <cell r="C785" t="str">
            <v>2016</v>
          </cell>
          <cell r="D785" t="str">
            <v>Erica Smith</v>
          </cell>
          <cell r="E785" t="str">
            <v>188 Pitt Street,Sydney</v>
          </cell>
          <cell r="F785" t="str">
            <v>Sydney</v>
          </cell>
          <cell r="G785" t="str">
            <v>NSW</v>
          </cell>
          <cell r="H785" t="str">
            <v>Small Business</v>
          </cell>
          <cell r="I785" t="str">
            <v>Tina Carlton</v>
          </cell>
          <cell r="J785" t="str">
            <v>Low</v>
          </cell>
          <cell r="K785" t="str">
            <v>600 Series Flip</v>
          </cell>
          <cell r="L785" t="str">
            <v>Technology</v>
          </cell>
          <cell r="M785" t="str">
            <v>Small Box</v>
          </cell>
          <cell r="N785" t="str">
            <v>Regular Air</v>
          </cell>
          <cell r="O785">
            <v>42440</v>
          </cell>
          <cell r="P785">
            <v>41.28</v>
          </cell>
          <cell r="Q785">
            <v>95.99</v>
          </cell>
          <cell r="R785">
            <v>54.709999999999994</v>
          </cell>
          <cell r="S785">
            <v>40</v>
          </cell>
          <cell r="T785">
            <v>3839.6</v>
          </cell>
          <cell r="V785">
            <v>191.98000000000002</v>
          </cell>
          <cell r="W785">
            <v>3647.62</v>
          </cell>
          <cell r="X785">
            <v>8.99</v>
          </cell>
          <cell r="Y785">
            <v>3656.6099999999997</v>
          </cell>
        </row>
        <row r="786">
          <cell r="A786" t="str">
            <v>6221-1</v>
          </cell>
          <cell r="B786">
            <v>42435</v>
          </cell>
          <cell r="C786" t="str">
            <v>2016</v>
          </cell>
          <cell r="D786" t="str">
            <v>Robert Marley</v>
          </cell>
          <cell r="E786" t="str">
            <v>211/25-29 Dixon St,Haymarket</v>
          </cell>
          <cell r="F786" t="str">
            <v>Sydney</v>
          </cell>
          <cell r="G786" t="str">
            <v>NSW</v>
          </cell>
          <cell r="H786" t="str">
            <v>Corporate</v>
          </cell>
          <cell r="I786" t="str">
            <v>Preston Senome</v>
          </cell>
          <cell r="J786" t="str">
            <v>Not Specified</v>
          </cell>
          <cell r="K786" t="str">
            <v>Artisan Hole Reinforcements</v>
          </cell>
          <cell r="L786" t="str">
            <v>Office Supplies</v>
          </cell>
          <cell r="M786" t="str">
            <v>Small Box</v>
          </cell>
          <cell r="N786" t="str">
            <v>Express Air</v>
          </cell>
          <cell r="O786">
            <v>42436</v>
          </cell>
          <cell r="P786">
            <v>3.99</v>
          </cell>
          <cell r="Q786">
            <v>6.23</v>
          </cell>
          <cell r="R786">
            <v>2.2400000000000002</v>
          </cell>
          <cell r="S786">
            <v>33</v>
          </cell>
          <cell r="T786">
            <v>205.59</v>
          </cell>
          <cell r="V786">
            <v>16.447200000000002</v>
          </cell>
          <cell r="W786">
            <v>189.14279999999999</v>
          </cell>
          <cell r="X786">
            <v>6.97</v>
          </cell>
          <cell r="Y786">
            <v>196.11279999999999</v>
          </cell>
        </row>
        <row r="787">
          <cell r="A787" t="str">
            <v>6222-1</v>
          </cell>
          <cell r="B787">
            <v>42436</v>
          </cell>
          <cell r="C787" t="str">
            <v>2016</v>
          </cell>
          <cell r="D787" t="str">
            <v>Rick Hansen</v>
          </cell>
          <cell r="E787" t="str">
            <v>Macquarie Centre Cnr Herring Road &amp; Waterloo Road,Macquarie Park</v>
          </cell>
          <cell r="F787" t="str">
            <v>Sydney</v>
          </cell>
          <cell r="G787" t="str">
            <v>NSW</v>
          </cell>
          <cell r="H787" t="str">
            <v>Home Office</v>
          </cell>
          <cell r="I787" t="str">
            <v>Nicholas Fernandes</v>
          </cell>
          <cell r="J787" t="str">
            <v>Medium</v>
          </cell>
          <cell r="K787" t="str">
            <v>Steady 52201 APSCO Electric Pencil Sharpener</v>
          </cell>
          <cell r="L787" t="str">
            <v>Office Supplies</v>
          </cell>
          <cell r="M787" t="str">
            <v>Small Pack</v>
          </cell>
          <cell r="N787" t="str">
            <v>Regular Air</v>
          </cell>
          <cell r="O787">
            <v>42437</v>
          </cell>
          <cell r="P787">
            <v>16.8</v>
          </cell>
          <cell r="Q787">
            <v>40.97</v>
          </cell>
          <cell r="R787">
            <v>24.169999999999998</v>
          </cell>
          <cell r="S787">
            <v>14</v>
          </cell>
          <cell r="T787">
            <v>573.57999999999993</v>
          </cell>
          <cell r="V787">
            <v>0</v>
          </cell>
          <cell r="W787">
            <v>573.57999999999993</v>
          </cell>
          <cell r="X787">
            <v>8.99</v>
          </cell>
          <cell r="Y787">
            <v>582.56999999999994</v>
          </cell>
        </row>
        <row r="788">
          <cell r="A788" t="str">
            <v>6223-1</v>
          </cell>
          <cell r="B788">
            <v>42438</v>
          </cell>
          <cell r="C788" t="str">
            <v>2016</v>
          </cell>
          <cell r="D788" t="str">
            <v>Shirley Schmidt</v>
          </cell>
          <cell r="E788" t="str">
            <v>60 Commercial Rd,Prahran</v>
          </cell>
          <cell r="F788" t="str">
            <v>Melbourne</v>
          </cell>
          <cell r="G788" t="str">
            <v>VIC</v>
          </cell>
          <cell r="H788" t="str">
            <v>Corporate</v>
          </cell>
          <cell r="I788" t="str">
            <v>Yvette Biti</v>
          </cell>
          <cell r="J788" t="str">
            <v>Medium</v>
          </cell>
          <cell r="K788" t="str">
            <v>Beekin 105-Key Black Keyboard</v>
          </cell>
          <cell r="L788" t="str">
            <v>Technology</v>
          </cell>
          <cell r="M788" t="str">
            <v>Small Box</v>
          </cell>
          <cell r="N788" t="str">
            <v>Regular Air</v>
          </cell>
          <cell r="O788">
            <v>42439</v>
          </cell>
          <cell r="P788">
            <v>6.39</v>
          </cell>
          <cell r="Q788">
            <v>19.98</v>
          </cell>
          <cell r="R788">
            <v>13.59</v>
          </cell>
          <cell r="S788">
            <v>39</v>
          </cell>
          <cell r="T788">
            <v>779.22</v>
          </cell>
          <cell r="V788">
            <v>38.961000000000006</v>
          </cell>
          <cell r="W788">
            <v>740.25900000000001</v>
          </cell>
          <cell r="X788">
            <v>4</v>
          </cell>
          <cell r="Y788">
            <v>744.25900000000001</v>
          </cell>
        </row>
        <row r="789">
          <cell r="A789" t="str">
            <v>6224-1</v>
          </cell>
          <cell r="B789">
            <v>42440</v>
          </cell>
          <cell r="C789" t="str">
            <v>2016</v>
          </cell>
          <cell r="D789" t="str">
            <v>Brooke Gillingham</v>
          </cell>
          <cell r="E789" t="str">
            <v>21 Wentworth St,Parramatta</v>
          </cell>
          <cell r="F789" t="str">
            <v>Sydney</v>
          </cell>
          <cell r="G789" t="str">
            <v>NSW</v>
          </cell>
          <cell r="H789" t="str">
            <v>Small Business</v>
          </cell>
          <cell r="I789" t="str">
            <v>Aanya Zhang</v>
          </cell>
          <cell r="J789" t="str">
            <v>Medium</v>
          </cell>
          <cell r="K789" t="str">
            <v>Multi-Use Personal File Cart and Caster Set, Three Stacking Bins</v>
          </cell>
          <cell r="L789" t="str">
            <v>Office Supplies</v>
          </cell>
          <cell r="M789" t="str">
            <v>Small Box</v>
          </cell>
          <cell r="N789" t="str">
            <v>Regular Air</v>
          </cell>
          <cell r="O789">
            <v>42442</v>
          </cell>
          <cell r="P789">
            <v>14.95</v>
          </cell>
          <cell r="Q789">
            <v>34.76</v>
          </cell>
          <cell r="R789">
            <v>19.809999999999999</v>
          </cell>
          <cell r="S789">
            <v>27</v>
          </cell>
          <cell r="T789">
            <v>938.52</v>
          </cell>
          <cell r="V789">
            <v>93.852000000000004</v>
          </cell>
          <cell r="W789">
            <v>844.66800000000001</v>
          </cell>
          <cell r="X789">
            <v>8.2200000000000006</v>
          </cell>
          <cell r="Y789">
            <v>852.88800000000003</v>
          </cell>
        </row>
        <row r="790">
          <cell r="A790" t="str">
            <v>6225-1</v>
          </cell>
          <cell r="B790">
            <v>42441</v>
          </cell>
          <cell r="C790" t="str">
            <v>2016</v>
          </cell>
          <cell r="D790" t="str">
            <v>Magdelene Morse</v>
          </cell>
          <cell r="E790" t="str">
            <v>53 Riley Street,Woolloomooloo</v>
          </cell>
          <cell r="F790" t="str">
            <v>Sydney</v>
          </cell>
          <cell r="G790" t="str">
            <v>NSW</v>
          </cell>
          <cell r="H790" t="str">
            <v>Home Office</v>
          </cell>
          <cell r="I790" t="str">
            <v>Tina Carlton</v>
          </cell>
          <cell r="J790" t="str">
            <v>Medium</v>
          </cell>
          <cell r="K790" t="str">
            <v>Smiths Pushpins</v>
          </cell>
          <cell r="L790" t="str">
            <v>Office Supplies</v>
          </cell>
          <cell r="M790" t="str">
            <v>Wrap Bag</v>
          </cell>
          <cell r="N790" t="str">
            <v>Regular Air</v>
          </cell>
          <cell r="O790">
            <v>42441</v>
          </cell>
          <cell r="P790">
            <v>0.94</v>
          </cell>
          <cell r="Q790">
            <v>1.88</v>
          </cell>
          <cell r="R790">
            <v>0.94</v>
          </cell>
          <cell r="S790">
            <v>36</v>
          </cell>
          <cell r="T790">
            <v>67.679999999999993</v>
          </cell>
          <cell r="V790">
            <v>2.7071999999999998</v>
          </cell>
          <cell r="W790">
            <v>64.972799999999992</v>
          </cell>
          <cell r="X790">
            <v>0.79</v>
          </cell>
          <cell r="Y790">
            <v>65.762799999999999</v>
          </cell>
        </row>
        <row r="791">
          <cell r="A791" t="str">
            <v>6226-1</v>
          </cell>
          <cell r="B791">
            <v>42441</v>
          </cell>
          <cell r="C791" t="str">
            <v>2016</v>
          </cell>
          <cell r="D791" t="str">
            <v>Andrew Allen</v>
          </cell>
          <cell r="E791" t="str">
            <v>15 Aberdeen Street, Perth</v>
          </cell>
          <cell r="F791" t="str">
            <v>Sydney</v>
          </cell>
          <cell r="G791" t="str">
            <v>NSW</v>
          </cell>
          <cell r="H791" t="str">
            <v>Corporate</v>
          </cell>
          <cell r="I791" t="str">
            <v>Phoebe Gour</v>
          </cell>
          <cell r="J791" t="str">
            <v>Low</v>
          </cell>
          <cell r="K791" t="str">
            <v>Steady Pocket Accent Highlighters</v>
          </cell>
          <cell r="L791" t="str">
            <v>Office Supplies</v>
          </cell>
          <cell r="M791" t="str">
            <v>Wrap Bag</v>
          </cell>
          <cell r="N791" t="str">
            <v>Regular Air</v>
          </cell>
          <cell r="O791">
            <v>42446</v>
          </cell>
          <cell r="P791">
            <v>0.93</v>
          </cell>
          <cell r="Q791">
            <v>1.6</v>
          </cell>
          <cell r="R791">
            <v>0.67</v>
          </cell>
          <cell r="S791">
            <v>40</v>
          </cell>
          <cell r="T791">
            <v>64</v>
          </cell>
          <cell r="V791">
            <v>0.64</v>
          </cell>
          <cell r="W791">
            <v>63.36</v>
          </cell>
          <cell r="X791">
            <v>1.29</v>
          </cell>
          <cell r="Y791">
            <v>64.650000000000006</v>
          </cell>
        </row>
        <row r="792">
          <cell r="A792" t="str">
            <v>6227-1</v>
          </cell>
          <cell r="B792">
            <v>42443</v>
          </cell>
          <cell r="C792" t="str">
            <v>2016</v>
          </cell>
          <cell r="D792" t="str">
            <v>Sandra Flanagan</v>
          </cell>
          <cell r="E792" t="str">
            <v>359 Crown Street,Surry Hills</v>
          </cell>
          <cell r="F792" t="str">
            <v>Sydney</v>
          </cell>
          <cell r="G792" t="str">
            <v>NSW</v>
          </cell>
          <cell r="H792" t="str">
            <v>Home Office</v>
          </cell>
          <cell r="I792" t="str">
            <v>Phoebe Gour</v>
          </cell>
          <cell r="J792" t="str">
            <v>Low</v>
          </cell>
          <cell r="K792" t="str">
            <v>Xit Blank Computer Paper</v>
          </cell>
          <cell r="L792" t="str">
            <v>Office Supplies</v>
          </cell>
          <cell r="M792" t="str">
            <v>Small Box</v>
          </cell>
          <cell r="N792" t="str">
            <v>Regular Air</v>
          </cell>
          <cell r="O792">
            <v>42447</v>
          </cell>
          <cell r="P792">
            <v>12.39</v>
          </cell>
          <cell r="Q792">
            <v>19.98</v>
          </cell>
          <cell r="R792">
            <v>7.59</v>
          </cell>
          <cell r="S792">
            <v>47</v>
          </cell>
          <cell r="T792">
            <v>939.06000000000006</v>
          </cell>
          <cell r="V792">
            <v>0</v>
          </cell>
          <cell r="W792">
            <v>939.06000000000006</v>
          </cell>
          <cell r="X792">
            <v>5.77</v>
          </cell>
          <cell r="Y792">
            <v>944.83</v>
          </cell>
        </row>
        <row r="793">
          <cell r="A793" t="str">
            <v>6228-1</v>
          </cell>
          <cell r="B793">
            <v>42446</v>
          </cell>
          <cell r="C793" t="str">
            <v>2016</v>
          </cell>
          <cell r="D793" t="str">
            <v>Natalie Webber</v>
          </cell>
          <cell r="E793" t="str">
            <v>98-104 Parramatta Rd,Camperdown</v>
          </cell>
          <cell r="F793" t="str">
            <v>Sydney</v>
          </cell>
          <cell r="G793" t="str">
            <v>NSW</v>
          </cell>
          <cell r="H793" t="str">
            <v>Consumer</v>
          </cell>
          <cell r="I793" t="str">
            <v>Phoebe Gour</v>
          </cell>
          <cell r="J793" t="str">
            <v>Critical</v>
          </cell>
          <cell r="K793" t="str">
            <v>DrawIt Colored Pencils, 48-Color Set</v>
          </cell>
          <cell r="L793" t="str">
            <v>Office Supplies</v>
          </cell>
          <cell r="M793" t="str">
            <v>Wrap Bag</v>
          </cell>
          <cell r="N793" t="str">
            <v>Regular Air</v>
          </cell>
          <cell r="O793">
            <v>42448</v>
          </cell>
          <cell r="P793">
            <v>21.56</v>
          </cell>
          <cell r="Q793">
            <v>36.549999999999997</v>
          </cell>
          <cell r="R793">
            <v>14.989999999999998</v>
          </cell>
          <cell r="S793">
            <v>2</v>
          </cell>
          <cell r="T793">
            <v>73.099999999999994</v>
          </cell>
          <cell r="V793">
            <v>2.1929999999999996</v>
          </cell>
          <cell r="W793">
            <v>70.906999999999996</v>
          </cell>
          <cell r="X793">
            <v>13.89</v>
          </cell>
          <cell r="Y793">
            <v>84.796999999999997</v>
          </cell>
        </row>
        <row r="794">
          <cell r="A794" t="str">
            <v>6228-1</v>
          </cell>
          <cell r="B794">
            <v>42446</v>
          </cell>
          <cell r="C794" t="str">
            <v>2016</v>
          </cell>
          <cell r="D794" t="str">
            <v>Monica Federle</v>
          </cell>
          <cell r="E794" t="str">
            <v>834 Bourke St,Waterloo</v>
          </cell>
          <cell r="F794" t="str">
            <v>Sydney</v>
          </cell>
          <cell r="G794" t="str">
            <v>NSW</v>
          </cell>
          <cell r="H794" t="str">
            <v>Corporate</v>
          </cell>
          <cell r="I794" t="str">
            <v>Charlie Bui</v>
          </cell>
          <cell r="J794" t="str">
            <v>Critical</v>
          </cell>
          <cell r="K794" t="str">
            <v>Bagged Rubber Bands</v>
          </cell>
          <cell r="L794" t="str">
            <v>Office Supplies</v>
          </cell>
          <cell r="M794" t="str">
            <v>Wrap Bag</v>
          </cell>
          <cell r="N794" t="str">
            <v>Regular Air</v>
          </cell>
          <cell r="O794">
            <v>42449</v>
          </cell>
          <cell r="P794">
            <v>0.24</v>
          </cell>
          <cell r="Q794">
            <v>1.26</v>
          </cell>
          <cell r="R794">
            <v>1.02</v>
          </cell>
          <cell r="S794">
            <v>47</v>
          </cell>
          <cell r="T794">
            <v>59.22</v>
          </cell>
          <cell r="V794">
            <v>4.1454000000000004</v>
          </cell>
          <cell r="W794">
            <v>55.074599999999997</v>
          </cell>
          <cell r="X794">
            <v>0.7</v>
          </cell>
          <cell r="Y794">
            <v>55.7746</v>
          </cell>
        </row>
        <row r="795">
          <cell r="A795" t="str">
            <v>6230-1</v>
          </cell>
          <cell r="B795">
            <v>42446</v>
          </cell>
          <cell r="C795" t="str">
            <v>2016</v>
          </cell>
          <cell r="D795" t="str">
            <v>Carol Darley</v>
          </cell>
          <cell r="E795" t="str">
            <v>Crown Complex,Southbank</v>
          </cell>
          <cell r="F795" t="str">
            <v>Melbourne</v>
          </cell>
          <cell r="G795" t="str">
            <v>VIC</v>
          </cell>
          <cell r="H795" t="str">
            <v>Small Business</v>
          </cell>
          <cell r="I795" t="str">
            <v>Yvette Biti</v>
          </cell>
          <cell r="J795" t="str">
            <v>Medium</v>
          </cell>
          <cell r="K795" t="str">
            <v>Laser Neon Mac Format Diskettes, 10/Pack</v>
          </cell>
          <cell r="L795" t="str">
            <v>Technology</v>
          </cell>
          <cell r="M795" t="str">
            <v>Small Pack</v>
          </cell>
          <cell r="N795" t="str">
            <v>Express Air</v>
          </cell>
          <cell r="O795">
            <v>42447</v>
          </cell>
          <cell r="P795">
            <v>1.87</v>
          </cell>
          <cell r="Q795">
            <v>8.1199999999999992</v>
          </cell>
          <cell r="R795">
            <v>6.2499999999999991</v>
          </cell>
          <cell r="S795">
            <v>37</v>
          </cell>
          <cell r="T795">
            <v>300.44</v>
          </cell>
          <cell r="V795">
            <v>3.0044</v>
          </cell>
          <cell r="W795">
            <v>297.43560000000002</v>
          </cell>
          <cell r="X795">
            <v>2.83</v>
          </cell>
          <cell r="Y795">
            <v>300.26560000000001</v>
          </cell>
        </row>
        <row r="796">
          <cell r="A796" t="str">
            <v>6231-1</v>
          </cell>
          <cell r="B796">
            <v>42447</v>
          </cell>
          <cell r="C796" t="str">
            <v>2016</v>
          </cell>
          <cell r="D796" t="str">
            <v>Robert Marley</v>
          </cell>
          <cell r="E796" t="str">
            <v>211/25-29 Dixon St,Haymarket</v>
          </cell>
          <cell r="F796" t="str">
            <v>Sydney</v>
          </cell>
          <cell r="G796" t="str">
            <v>NSW</v>
          </cell>
          <cell r="H796" t="str">
            <v>Corporate</v>
          </cell>
          <cell r="I796" t="str">
            <v>Preston Senome</v>
          </cell>
          <cell r="J796" t="str">
            <v>Low</v>
          </cell>
          <cell r="K796" t="str">
            <v>Artisan File Folder Labels</v>
          </cell>
          <cell r="L796" t="str">
            <v>Office Supplies</v>
          </cell>
          <cell r="M796" t="str">
            <v>Small Box</v>
          </cell>
          <cell r="N796" t="str">
            <v>Regular Air</v>
          </cell>
          <cell r="O796">
            <v>42452</v>
          </cell>
          <cell r="P796">
            <v>1.84</v>
          </cell>
          <cell r="Q796">
            <v>2.88</v>
          </cell>
          <cell r="R796">
            <v>1.0399999999999998</v>
          </cell>
          <cell r="S796">
            <v>18</v>
          </cell>
          <cell r="T796">
            <v>51.839999999999996</v>
          </cell>
          <cell r="V796">
            <v>1.0367999999999999</v>
          </cell>
          <cell r="W796">
            <v>50.803199999999997</v>
          </cell>
          <cell r="X796">
            <v>5.33</v>
          </cell>
          <cell r="Y796">
            <v>56.133199999999995</v>
          </cell>
        </row>
        <row r="797">
          <cell r="A797" t="str">
            <v>6232-1</v>
          </cell>
          <cell r="B797">
            <v>42447</v>
          </cell>
          <cell r="C797" t="str">
            <v>2016</v>
          </cell>
          <cell r="D797" t="str">
            <v>MaryBeth Skach</v>
          </cell>
          <cell r="E797" t="str">
            <v>499-501 Lygon Street,Carlton North</v>
          </cell>
          <cell r="F797" t="str">
            <v>Melbourne</v>
          </cell>
          <cell r="G797" t="str">
            <v>VIC</v>
          </cell>
          <cell r="H797" t="str">
            <v>Home Office</v>
          </cell>
          <cell r="I797" t="str">
            <v>Yvette Biti</v>
          </cell>
          <cell r="J797" t="str">
            <v>High</v>
          </cell>
          <cell r="K797" t="str">
            <v>Steady Major Accent Highlighters</v>
          </cell>
          <cell r="L797" t="str">
            <v>Office Supplies</v>
          </cell>
          <cell r="M797" t="str">
            <v>Wrap Bag</v>
          </cell>
          <cell r="N797" t="str">
            <v>Regular Air</v>
          </cell>
          <cell r="O797">
            <v>42447</v>
          </cell>
          <cell r="P797">
            <v>3.75</v>
          </cell>
          <cell r="Q797">
            <v>7.08</v>
          </cell>
          <cell r="R797">
            <v>3.33</v>
          </cell>
          <cell r="S797">
            <v>16</v>
          </cell>
          <cell r="T797">
            <v>113.28</v>
          </cell>
          <cell r="V797">
            <v>2.2656000000000001</v>
          </cell>
          <cell r="W797">
            <v>111.01439999999999</v>
          </cell>
          <cell r="X797">
            <v>2.35</v>
          </cell>
          <cell r="Y797">
            <v>113.36439999999999</v>
          </cell>
        </row>
        <row r="798">
          <cell r="A798" t="str">
            <v>6234-1</v>
          </cell>
          <cell r="B798">
            <v>42449</v>
          </cell>
          <cell r="C798" t="str">
            <v>2016</v>
          </cell>
          <cell r="D798" t="str">
            <v>Michael Kennedy</v>
          </cell>
          <cell r="E798" t="str">
            <v>3 Orwell St,Potts Point</v>
          </cell>
          <cell r="F798" t="str">
            <v>Sydney</v>
          </cell>
          <cell r="G798" t="str">
            <v>NSW</v>
          </cell>
          <cell r="H798" t="str">
            <v>Corporate</v>
          </cell>
          <cell r="I798" t="str">
            <v>Leighton Forrest</v>
          </cell>
          <cell r="J798" t="str">
            <v>Not Specified</v>
          </cell>
          <cell r="K798" t="str">
            <v>Wirebound Voice Message Log Book</v>
          </cell>
          <cell r="L798" t="str">
            <v>Office Supplies</v>
          </cell>
          <cell r="M798" t="str">
            <v>Wrap Bag</v>
          </cell>
          <cell r="N798" t="str">
            <v>Regular Air</v>
          </cell>
          <cell r="O798">
            <v>42451</v>
          </cell>
          <cell r="P798">
            <v>2.9</v>
          </cell>
          <cell r="Q798">
            <v>4.76</v>
          </cell>
          <cell r="R798">
            <v>1.8599999999999999</v>
          </cell>
          <cell r="S798">
            <v>23</v>
          </cell>
          <cell r="T798">
            <v>109.47999999999999</v>
          </cell>
          <cell r="V798">
            <v>5.4740000000000002</v>
          </cell>
          <cell r="W798">
            <v>104.00599999999999</v>
          </cell>
          <cell r="X798">
            <v>0.88</v>
          </cell>
          <cell r="Y798">
            <v>104.88599999999998</v>
          </cell>
        </row>
        <row r="799">
          <cell r="A799" t="str">
            <v>6235-1</v>
          </cell>
          <cell r="B799">
            <v>42450</v>
          </cell>
          <cell r="C799" t="str">
            <v>2016</v>
          </cell>
          <cell r="D799" t="str">
            <v>Deanra Eno</v>
          </cell>
          <cell r="E799" t="str">
            <v>412 Brunswick St,Fitzroy</v>
          </cell>
          <cell r="F799" t="str">
            <v>Melbourne</v>
          </cell>
          <cell r="G799" t="str">
            <v>VIC</v>
          </cell>
          <cell r="H799" t="str">
            <v>Corporate</v>
          </cell>
          <cell r="I799" t="str">
            <v>Connor Betts</v>
          </cell>
          <cell r="J799" t="str">
            <v>Medium</v>
          </cell>
          <cell r="K799" t="str">
            <v>1726 Digital Answering Machine</v>
          </cell>
          <cell r="L799" t="str">
            <v>Technology</v>
          </cell>
          <cell r="M799" t="str">
            <v>Medium Box</v>
          </cell>
          <cell r="N799" t="str">
            <v>Regular Air</v>
          </cell>
          <cell r="O799">
            <v>42451</v>
          </cell>
          <cell r="P799">
            <v>8.82</v>
          </cell>
          <cell r="Q799">
            <v>20.99</v>
          </cell>
          <cell r="R799">
            <v>12.169999999999998</v>
          </cell>
          <cell r="S799">
            <v>2</v>
          </cell>
          <cell r="T799">
            <v>41.98</v>
          </cell>
          <cell r="V799">
            <v>2.9386000000000001</v>
          </cell>
          <cell r="W799">
            <v>39.041399999999996</v>
          </cell>
          <cell r="X799">
            <v>4.8099999999999996</v>
          </cell>
          <cell r="Y799">
            <v>43.851399999999998</v>
          </cell>
        </row>
        <row r="800">
          <cell r="A800" t="str">
            <v>6237-1</v>
          </cell>
          <cell r="B800">
            <v>42454</v>
          </cell>
          <cell r="C800" t="str">
            <v>2016</v>
          </cell>
          <cell r="D800" t="str">
            <v>Toby Knight</v>
          </cell>
          <cell r="E800" t="str">
            <v>Crown Complex,Southbank</v>
          </cell>
          <cell r="F800" t="str">
            <v>Melbourne</v>
          </cell>
          <cell r="G800" t="str">
            <v>VIC</v>
          </cell>
          <cell r="H800" t="str">
            <v>Corporate</v>
          </cell>
          <cell r="I800" t="str">
            <v>Connor Betts</v>
          </cell>
          <cell r="J800" t="str">
            <v>Not Specified</v>
          </cell>
          <cell r="K800" t="str">
            <v>Smiths Bulldog Clip</v>
          </cell>
          <cell r="L800" t="str">
            <v>Office Supplies</v>
          </cell>
          <cell r="M800" t="str">
            <v>Wrap Bag</v>
          </cell>
          <cell r="N800" t="str">
            <v>Regular Air</v>
          </cell>
          <cell r="O800">
            <v>42454</v>
          </cell>
          <cell r="P800">
            <v>2.31</v>
          </cell>
          <cell r="Q800">
            <v>3.78</v>
          </cell>
          <cell r="R800">
            <v>1.4699999999999998</v>
          </cell>
          <cell r="S800">
            <v>28</v>
          </cell>
          <cell r="T800">
            <v>105.83999999999999</v>
          </cell>
          <cell r="V800">
            <v>0</v>
          </cell>
          <cell r="W800">
            <v>105.83999999999999</v>
          </cell>
          <cell r="X800">
            <v>0.71</v>
          </cell>
          <cell r="Y800">
            <v>106.54999999999998</v>
          </cell>
        </row>
        <row r="801">
          <cell r="A801" t="str">
            <v>6238-1</v>
          </cell>
          <cell r="B801">
            <v>42455</v>
          </cell>
          <cell r="C801" t="str">
            <v>2016</v>
          </cell>
          <cell r="D801" t="str">
            <v>Nick Crebassa</v>
          </cell>
          <cell r="E801" t="str">
            <v>2a/285A Crown St,Surry Hills</v>
          </cell>
          <cell r="F801" t="str">
            <v>Sydney</v>
          </cell>
          <cell r="G801" t="str">
            <v>NSW</v>
          </cell>
          <cell r="H801" t="str">
            <v>Corporate</v>
          </cell>
          <cell r="I801" t="str">
            <v>Phoebe Gour</v>
          </cell>
          <cell r="J801" t="str">
            <v>Low</v>
          </cell>
          <cell r="K801" t="str">
            <v>Apex Preferred Stainless Steel Scissors</v>
          </cell>
          <cell r="L801" t="str">
            <v>Office Supplies</v>
          </cell>
          <cell r="M801" t="str">
            <v>Small Pack</v>
          </cell>
          <cell r="N801" t="str">
            <v>Regular Air</v>
          </cell>
          <cell r="O801">
            <v>42457</v>
          </cell>
          <cell r="P801">
            <v>2.5</v>
          </cell>
          <cell r="Q801">
            <v>5.68</v>
          </cell>
          <cell r="R801">
            <v>3.1799999999999997</v>
          </cell>
          <cell r="S801">
            <v>45</v>
          </cell>
          <cell r="T801">
            <v>255.6</v>
          </cell>
          <cell r="V801">
            <v>2.556</v>
          </cell>
          <cell r="W801">
            <v>253.04399999999998</v>
          </cell>
          <cell r="X801">
            <v>3.6</v>
          </cell>
          <cell r="Y801">
            <v>256.64400000000001</v>
          </cell>
        </row>
        <row r="802">
          <cell r="A802" t="str">
            <v>6240-1</v>
          </cell>
          <cell r="B802">
            <v>42455</v>
          </cell>
          <cell r="C802" t="str">
            <v>2016</v>
          </cell>
          <cell r="D802" t="str">
            <v>Cyma Kinney</v>
          </cell>
          <cell r="E802" t="str">
            <v>10 Lake Street</v>
          </cell>
          <cell r="F802" t="str">
            <v>Perth</v>
          </cell>
          <cell r="G802" t="str">
            <v>WA</v>
          </cell>
          <cell r="H802" t="str">
            <v>Small Business</v>
          </cell>
          <cell r="I802" t="str">
            <v>Phoebe Gour</v>
          </cell>
          <cell r="J802" t="str">
            <v>Critical</v>
          </cell>
          <cell r="K802" t="str">
            <v>Artisan 479 Labels</v>
          </cell>
          <cell r="L802" t="str">
            <v>Office Supplies</v>
          </cell>
          <cell r="M802" t="str">
            <v>Small Box</v>
          </cell>
          <cell r="N802" t="str">
            <v>Regular Air</v>
          </cell>
          <cell r="O802">
            <v>42457</v>
          </cell>
          <cell r="P802">
            <v>1.59</v>
          </cell>
          <cell r="Q802">
            <v>2.61</v>
          </cell>
          <cell r="R802">
            <v>1.0199999999999998</v>
          </cell>
          <cell r="S802">
            <v>8</v>
          </cell>
          <cell r="T802">
            <v>20.88</v>
          </cell>
          <cell r="V802">
            <v>0.41759999999999997</v>
          </cell>
          <cell r="W802">
            <v>20.462399999999999</v>
          </cell>
          <cell r="X802">
            <v>0.5</v>
          </cell>
          <cell r="Y802">
            <v>20.962399999999999</v>
          </cell>
        </row>
        <row r="803">
          <cell r="A803" t="str">
            <v>6242-1</v>
          </cell>
          <cell r="B803">
            <v>42456</v>
          </cell>
          <cell r="C803" t="str">
            <v>2016</v>
          </cell>
          <cell r="D803" t="str">
            <v>Craig Leslie</v>
          </cell>
          <cell r="E803" t="str">
            <v>10 Bligh St,Melbourne</v>
          </cell>
          <cell r="F803" t="str">
            <v>Melbourne</v>
          </cell>
          <cell r="G803" t="str">
            <v>VIC</v>
          </cell>
          <cell r="H803" t="str">
            <v>Consumer</v>
          </cell>
          <cell r="I803" t="str">
            <v>Connor Betts</v>
          </cell>
          <cell r="J803" t="str">
            <v>High</v>
          </cell>
          <cell r="K803" t="str">
            <v>Cando PC940 Copier</v>
          </cell>
          <cell r="L803" t="str">
            <v>Technology</v>
          </cell>
          <cell r="M803" t="str">
            <v>Large Box</v>
          </cell>
          <cell r="N803" t="str">
            <v>Regular Air</v>
          </cell>
          <cell r="O803">
            <v>42457</v>
          </cell>
          <cell r="P803">
            <v>216</v>
          </cell>
          <cell r="Q803">
            <v>449.99</v>
          </cell>
          <cell r="R803">
            <v>233.99</v>
          </cell>
          <cell r="S803">
            <v>49</v>
          </cell>
          <cell r="T803">
            <v>22049.510000000002</v>
          </cell>
          <cell r="V803">
            <v>1322.9706000000001</v>
          </cell>
          <cell r="W803">
            <v>20726.539400000001</v>
          </cell>
          <cell r="X803">
            <v>24.49</v>
          </cell>
          <cell r="Y803">
            <v>20751.029400000003</v>
          </cell>
        </row>
        <row r="804">
          <cell r="A804" t="str">
            <v>6243-1</v>
          </cell>
          <cell r="B804">
            <v>42456</v>
          </cell>
          <cell r="C804" t="str">
            <v>2016</v>
          </cell>
          <cell r="D804" t="str">
            <v>Deirdre Greer</v>
          </cell>
          <cell r="E804" t="str">
            <v>33/4 Barangaroo Avenue,Sydney</v>
          </cell>
          <cell r="F804" t="str">
            <v>Sydney</v>
          </cell>
          <cell r="G804" t="str">
            <v>NSW</v>
          </cell>
          <cell r="H804" t="str">
            <v>Home Office</v>
          </cell>
          <cell r="I804" t="str">
            <v>Natasha Song</v>
          </cell>
          <cell r="J804" t="str">
            <v>Low</v>
          </cell>
          <cell r="K804" t="str">
            <v>Cando S750 Color Inkjet Printer</v>
          </cell>
          <cell r="L804" t="str">
            <v>Technology</v>
          </cell>
          <cell r="M804" t="str">
            <v>Jumbo Drum</v>
          </cell>
          <cell r="N804" t="str">
            <v>Delivery Truck</v>
          </cell>
          <cell r="O804">
            <v>42463</v>
          </cell>
          <cell r="P804">
            <v>75</v>
          </cell>
          <cell r="Q804">
            <v>120.97</v>
          </cell>
          <cell r="R804">
            <v>45.97</v>
          </cell>
          <cell r="S804">
            <v>42</v>
          </cell>
          <cell r="T804">
            <v>5080.74</v>
          </cell>
          <cell r="V804">
            <v>0</v>
          </cell>
          <cell r="W804">
            <v>5080.74</v>
          </cell>
          <cell r="X804">
            <v>26.3</v>
          </cell>
          <cell r="Y804">
            <v>5107.04</v>
          </cell>
        </row>
        <row r="805">
          <cell r="A805" t="str">
            <v>6244-1</v>
          </cell>
          <cell r="B805">
            <v>42458</v>
          </cell>
          <cell r="C805" t="str">
            <v>2016</v>
          </cell>
          <cell r="D805" t="str">
            <v>Sung Shariari</v>
          </cell>
          <cell r="E805" t="str">
            <v>6/15 Cross Street,Double Bay</v>
          </cell>
          <cell r="F805" t="str">
            <v>Sydney</v>
          </cell>
          <cell r="G805" t="str">
            <v>NSW</v>
          </cell>
          <cell r="H805" t="str">
            <v>Corporate</v>
          </cell>
          <cell r="I805" t="str">
            <v>Leighton Forrest</v>
          </cell>
          <cell r="J805" t="str">
            <v>Critical</v>
          </cell>
          <cell r="K805" t="str">
            <v>Apex Straight Scissors</v>
          </cell>
          <cell r="L805" t="str">
            <v>Office Supplies</v>
          </cell>
          <cell r="M805" t="str">
            <v>Small Pack</v>
          </cell>
          <cell r="N805" t="str">
            <v>Regular Air</v>
          </cell>
          <cell r="O805">
            <v>42459</v>
          </cell>
          <cell r="P805">
            <v>5.19</v>
          </cell>
          <cell r="Q805">
            <v>12.98</v>
          </cell>
          <cell r="R805">
            <v>7.79</v>
          </cell>
          <cell r="S805">
            <v>45</v>
          </cell>
          <cell r="T805">
            <v>584.1</v>
          </cell>
          <cell r="V805">
            <v>29.205000000000002</v>
          </cell>
          <cell r="W805">
            <v>554.89499999999998</v>
          </cell>
          <cell r="X805">
            <v>3.14</v>
          </cell>
          <cell r="Y805">
            <v>558.03499999999997</v>
          </cell>
        </row>
        <row r="806">
          <cell r="A806" t="str">
            <v>6246-1</v>
          </cell>
          <cell r="B806">
            <v>42458</v>
          </cell>
          <cell r="C806" t="str">
            <v>2016</v>
          </cell>
          <cell r="D806" t="str">
            <v>Alan Dominguez</v>
          </cell>
          <cell r="E806" t="str">
            <v>60 Commercial Rd,Prahran</v>
          </cell>
          <cell r="F806" t="str">
            <v>Melbourne</v>
          </cell>
          <cell r="G806" t="str">
            <v>VIC</v>
          </cell>
          <cell r="H806" t="str">
            <v>Corporate</v>
          </cell>
          <cell r="I806" t="str">
            <v>Yvette Biti</v>
          </cell>
          <cell r="J806" t="str">
            <v>Low</v>
          </cell>
          <cell r="K806" t="str">
            <v>Artisan 481 Labels</v>
          </cell>
          <cell r="L806" t="str">
            <v>Office Supplies</v>
          </cell>
          <cell r="M806" t="str">
            <v>Small Box</v>
          </cell>
          <cell r="N806" t="str">
            <v>Regular Air</v>
          </cell>
          <cell r="O806">
            <v>42460</v>
          </cell>
          <cell r="P806">
            <v>1.94</v>
          </cell>
          <cell r="Q806">
            <v>3.08</v>
          </cell>
          <cell r="R806">
            <v>1.1400000000000001</v>
          </cell>
          <cell r="S806">
            <v>42</v>
          </cell>
          <cell r="T806">
            <v>129.36000000000001</v>
          </cell>
          <cell r="V806">
            <v>11.6424</v>
          </cell>
          <cell r="W806">
            <v>117.71760000000002</v>
          </cell>
          <cell r="X806">
            <v>0.99</v>
          </cell>
          <cell r="Y806">
            <v>118.70760000000001</v>
          </cell>
        </row>
        <row r="807">
          <cell r="A807" t="str">
            <v>6248-1</v>
          </cell>
          <cell r="B807">
            <v>42459</v>
          </cell>
          <cell r="C807" t="str">
            <v>2016</v>
          </cell>
          <cell r="D807" t="str">
            <v>Ruben Dartt</v>
          </cell>
          <cell r="E807" t="str">
            <v>188 Pitt Street,Sydney</v>
          </cell>
          <cell r="F807" t="str">
            <v>Sydney</v>
          </cell>
          <cell r="G807" t="str">
            <v>NSW</v>
          </cell>
          <cell r="H807" t="str">
            <v>Corporate</v>
          </cell>
          <cell r="I807" t="str">
            <v>Tina Carlton</v>
          </cell>
          <cell r="J807" t="str">
            <v>Not Specified</v>
          </cell>
          <cell r="K807" t="str">
            <v>Office Shears by Apex</v>
          </cell>
          <cell r="L807" t="str">
            <v>Office Supplies</v>
          </cell>
          <cell r="M807" t="str">
            <v>Small Pack</v>
          </cell>
          <cell r="N807" t="str">
            <v>Regular Air</v>
          </cell>
          <cell r="O807">
            <v>42460</v>
          </cell>
          <cell r="P807">
            <v>0.94</v>
          </cell>
          <cell r="Q807">
            <v>2.08</v>
          </cell>
          <cell r="R807">
            <v>1.1400000000000001</v>
          </cell>
          <cell r="S807">
            <v>2</v>
          </cell>
          <cell r="T807">
            <v>4.16</v>
          </cell>
          <cell r="V807">
            <v>4.1600000000000005E-2</v>
          </cell>
          <cell r="W807">
            <v>4.1184000000000003</v>
          </cell>
          <cell r="X807">
            <v>2.56</v>
          </cell>
          <cell r="Y807">
            <v>6.6783999999999999</v>
          </cell>
        </row>
        <row r="808">
          <cell r="A808" t="str">
            <v>6250-1</v>
          </cell>
          <cell r="B808">
            <v>42462</v>
          </cell>
          <cell r="C808" t="str">
            <v>2016</v>
          </cell>
          <cell r="D808" t="str">
            <v>Hunter Glantz</v>
          </cell>
          <cell r="E808" t="str">
            <v>152 Bunnerong Road,Eastgardens</v>
          </cell>
          <cell r="F808" t="str">
            <v>Sydney</v>
          </cell>
          <cell r="G808" t="str">
            <v>NSW</v>
          </cell>
          <cell r="H808" t="str">
            <v>Corporate</v>
          </cell>
          <cell r="I808" t="str">
            <v>Tina Carlton</v>
          </cell>
          <cell r="J808" t="str">
            <v>Low</v>
          </cell>
          <cell r="K808" t="str">
            <v>Artisan Flip-Chart Easel Binder, Black</v>
          </cell>
          <cell r="L808" t="str">
            <v>Office Supplies</v>
          </cell>
          <cell r="M808" t="str">
            <v>Small Box</v>
          </cell>
          <cell r="N808" t="str">
            <v>Regular Air</v>
          </cell>
          <cell r="O808">
            <v>42470</v>
          </cell>
          <cell r="P808">
            <v>13.88</v>
          </cell>
          <cell r="Q808">
            <v>22.38</v>
          </cell>
          <cell r="R808">
            <v>8.4999999999999982</v>
          </cell>
          <cell r="S808">
            <v>16</v>
          </cell>
          <cell r="T808">
            <v>358.08</v>
          </cell>
          <cell r="V808">
            <v>32.227199999999996</v>
          </cell>
          <cell r="W808">
            <v>325.8528</v>
          </cell>
          <cell r="X808">
            <v>15.1</v>
          </cell>
          <cell r="Y808">
            <v>340.95280000000002</v>
          </cell>
        </row>
        <row r="809">
          <cell r="A809" t="str">
            <v>6252-1</v>
          </cell>
          <cell r="B809">
            <v>42463</v>
          </cell>
          <cell r="C809" t="str">
            <v>2016</v>
          </cell>
          <cell r="D809" t="str">
            <v>Christina Vanderzanden</v>
          </cell>
          <cell r="E809" t="str">
            <v>188 Pitt Street,Sydney</v>
          </cell>
          <cell r="F809" t="str">
            <v>Sydney</v>
          </cell>
          <cell r="G809" t="str">
            <v>NSW</v>
          </cell>
          <cell r="H809" t="str">
            <v>Small Business</v>
          </cell>
          <cell r="I809" t="str">
            <v>Tina Carlton</v>
          </cell>
          <cell r="J809" t="str">
            <v>Low</v>
          </cell>
          <cell r="K809" t="str">
            <v>Bagged Rubber Bands</v>
          </cell>
          <cell r="L809" t="str">
            <v>Office Supplies</v>
          </cell>
          <cell r="M809" t="str">
            <v>Wrap Bag</v>
          </cell>
          <cell r="N809" t="str">
            <v>Express Air</v>
          </cell>
          <cell r="O809">
            <v>42463</v>
          </cell>
          <cell r="P809">
            <v>0.24</v>
          </cell>
          <cell r="Q809">
            <v>1.26</v>
          </cell>
          <cell r="R809">
            <v>1.02</v>
          </cell>
          <cell r="S809">
            <v>40</v>
          </cell>
          <cell r="T809">
            <v>50.4</v>
          </cell>
          <cell r="V809">
            <v>2.016</v>
          </cell>
          <cell r="W809">
            <v>48.384</v>
          </cell>
          <cell r="X809">
            <v>0.7</v>
          </cell>
          <cell r="Y809">
            <v>49.084000000000003</v>
          </cell>
        </row>
        <row r="810">
          <cell r="A810" t="str">
            <v>6254-1</v>
          </cell>
          <cell r="B810">
            <v>42465</v>
          </cell>
          <cell r="C810" t="str">
            <v>2016</v>
          </cell>
          <cell r="D810" t="str">
            <v>Adrian Shami</v>
          </cell>
          <cell r="E810" t="str">
            <v>Sydney Fish Market, Bank Street, Sydney</v>
          </cell>
          <cell r="F810" t="str">
            <v>Sydney</v>
          </cell>
          <cell r="G810" t="str">
            <v>NSW</v>
          </cell>
          <cell r="H810" t="str">
            <v>Consumer</v>
          </cell>
          <cell r="I810" t="str">
            <v>Phoebe Gour</v>
          </cell>
          <cell r="J810" t="str">
            <v>Low</v>
          </cell>
          <cell r="K810" t="str">
            <v>Apex Forged Steel Scissors with Black Enamel Handles</v>
          </cell>
          <cell r="L810" t="str">
            <v>Office Supplies</v>
          </cell>
          <cell r="M810" t="str">
            <v>Small Pack</v>
          </cell>
          <cell r="N810" t="str">
            <v>Regular Air</v>
          </cell>
          <cell r="O810">
            <v>42471</v>
          </cell>
          <cell r="P810">
            <v>4.0999999999999996</v>
          </cell>
          <cell r="Q810">
            <v>9.31</v>
          </cell>
          <cell r="R810">
            <v>5.2100000000000009</v>
          </cell>
          <cell r="S810">
            <v>35</v>
          </cell>
          <cell r="T810">
            <v>325.85000000000002</v>
          </cell>
          <cell r="V810">
            <v>16.2925</v>
          </cell>
          <cell r="W810">
            <v>309.5575</v>
          </cell>
          <cell r="X810">
            <v>3.98</v>
          </cell>
          <cell r="Y810">
            <v>313.53750000000002</v>
          </cell>
        </row>
        <row r="811">
          <cell r="A811" t="str">
            <v>6256-1</v>
          </cell>
          <cell r="B811">
            <v>42466</v>
          </cell>
          <cell r="C811" t="str">
            <v>2016</v>
          </cell>
          <cell r="D811" t="str">
            <v>Emily Grady</v>
          </cell>
          <cell r="E811" t="str">
            <v>14 Money Street</v>
          </cell>
          <cell r="F811" t="str">
            <v>Perth</v>
          </cell>
          <cell r="G811" t="str">
            <v>WA</v>
          </cell>
          <cell r="H811" t="str">
            <v>Home Office</v>
          </cell>
          <cell r="I811" t="str">
            <v>Phoebe Gour</v>
          </cell>
          <cell r="J811" t="str">
            <v>Not Specified</v>
          </cell>
          <cell r="K811" t="str">
            <v>Pizazz Drawing Pencil Set</v>
          </cell>
          <cell r="L811" t="str">
            <v>Office Supplies</v>
          </cell>
          <cell r="M811" t="str">
            <v>Wrap Bag</v>
          </cell>
          <cell r="N811" t="str">
            <v>Regular Air</v>
          </cell>
          <cell r="O811">
            <v>42468</v>
          </cell>
          <cell r="P811">
            <v>1.53</v>
          </cell>
          <cell r="Q811">
            <v>2.78</v>
          </cell>
          <cell r="R811">
            <v>1.2499999999999998</v>
          </cell>
          <cell r="S811">
            <v>10</v>
          </cell>
          <cell r="T811">
            <v>27.799999999999997</v>
          </cell>
          <cell r="V811">
            <v>0.27799999999999997</v>
          </cell>
          <cell r="W811">
            <v>27.521999999999998</v>
          </cell>
          <cell r="X811">
            <v>1.34</v>
          </cell>
          <cell r="Y811">
            <v>28.861999999999998</v>
          </cell>
        </row>
        <row r="812">
          <cell r="A812" t="str">
            <v>6257-1</v>
          </cell>
          <cell r="B812">
            <v>42470</v>
          </cell>
          <cell r="C812" t="str">
            <v>2016</v>
          </cell>
          <cell r="D812" t="str">
            <v>Tom Stivers</v>
          </cell>
          <cell r="E812" t="str">
            <v>21 Wentworth St,Parramatta</v>
          </cell>
          <cell r="F812" t="str">
            <v>Sydney</v>
          </cell>
          <cell r="G812" t="str">
            <v>NSW</v>
          </cell>
          <cell r="H812" t="str">
            <v>Small Business</v>
          </cell>
          <cell r="I812" t="str">
            <v>Aanya Zhang</v>
          </cell>
          <cell r="J812" t="str">
            <v>Critical</v>
          </cell>
          <cell r="K812" t="str">
            <v>Beekin 105-Key Black Keyboard</v>
          </cell>
          <cell r="L812" t="str">
            <v>Technology</v>
          </cell>
          <cell r="M812" t="str">
            <v>Small Box</v>
          </cell>
          <cell r="N812" t="str">
            <v>Regular Air</v>
          </cell>
          <cell r="O812">
            <v>42472</v>
          </cell>
          <cell r="P812">
            <v>6.39</v>
          </cell>
          <cell r="Q812">
            <v>19.98</v>
          </cell>
          <cell r="R812">
            <v>13.59</v>
          </cell>
          <cell r="S812">
            <v>35</v>
          </cell>
          <cell r="T812">
            <v>699.30000000000007</v>
          </cell>
          <cell r="V812">
            <v>69.930000000000007</v>
          </cell>
          <cell r="W812">
            <v>629.37000000000012</v>
          </cell>
          <cell r="X812">
            <v>4</v>
          </cell>
          <cell r="Y812">
            <v>633.37000000000012</v>
          </cell>
        </row>
        <row r="813">
          <cell r="A813" t="str">
            <v>6258-1</v>
          </cell>
          <cell r="B813">
            <v>42471</v>
          </cell>
          <cell r="C813" t="str">
            <v>2016</v>
          </cell>
          <cell r="D813" t="str">
            <v>Barry Weirich</v>
          </cell>
          <cell r="E813" t="str">
            <v>1/20 Pendal Lane, Perth</v>
          </cell>
          <cell r="F813" t="str">
            <v>Sydney</v>
          </cell>
          <cell r="G813" t="str">
            <v>NSW</v>
          </cell>
          <cell r="H813" t="str">
            <v>Corporate</v>
          </cell>
          <cell r="I813" t="str">
            <v>Charlie Bui</v>
          </cell>
          <cell r="J813" t="str">
            <v>Not Specified</v>
          </cell>
          <cell r="K813" t="str">
            <v>Artisan Hole Reinforcements</v>
          </cell>
          <cell r="L813" t="str">
            <v>Office Supplies</v>
          </cell>
          <cell r="M813" t="str">
            <v>Small Box</v>
          </cell>
          <cell r="N813" t="str">
            <v>Regular Air</v>
          </cell>
          <cell r="O813">
            <v>42473</v>
          </cell>
          <cell r="P813">
            <v>3.99</v>
          </cell>
          <cell r="Q813">
            <v>6.23</v>
          </cell>
          <cell r="R813">
            <v>2.2400000000000002</v>
          </cell>
          <cell r="S813">
            <v>21</v>
          </cell>
          <cell r="T813">
            <v>130.83000000000001</v>
          </cell>
          <cell r="V813">
            <v>6.541500000000001</v>
          </cell>
          <cell r="W813">
            <v>124.28850000000001</v>
          </cell>
          <cell r="X813">
            <v>6.97</v>
          </cell>
          <cell r="Y813">
            <v>131.25850000000003</v>
          </cell>
        </row>
        <row r="814">
          <cell r="A814" t="str">
            <v>6260-1</v>
          </cell>
          <cell r="B814">
            <v>42471</v>
          </cell>
          <cell r="C814" t="str">
            <v>2016</v>
          </cell>
          <cell r="D814" t="str">
            <v>Berenike Kampe</v>
          </cell>
          <cell r="E814" t="str">
            <v>6 Brookman Street, Perth</v>
          </cell>
          <cell r="F814" t="str">
            <v>Melbourne</v>
          </cell>
          <cell r="G814" t="str">
            <v>VIC</v>
          </cell>
          <cell r="H814" t="str">
            <v>Corporate</v>
          </cell>
          <cell r="I814" t="str">
            <v>Connor Betts</v>
          </cell>
          <cell r="J814" t="str">
            <v>Critical</v>
          </cell>
          <cell r="K814" t="str">
            <v>Colored Push Pins</v>
          </cell>
          <cell r="L814" t="str">
            <v>Office Supplies</v>
          </cell>
          <cell r="M814" t="str">
            <v>Wrap Bag</v>
          </cell>
          <cell r="N814" t="str">
            <v>Regular Air</v>
          </cell>
          <cell r="O814">
            <v>42471</v>
          </cell>
          <cell r="P814">
            <v>0.92</v>
          </cell>
          <cell r="Q814">
            <v>1.81</v>
          </cell>
          <cell r="R814">
            <v>0.89</v>
          </cell>
          <cell r="S814">
            <v>22</v>
          </cell>
          <cell r="T814">
            <v>39.82</v>
          </cell>
          <cell r="V814">
            <v>3.5838000000000001</v>
          </cell>
          <cell r="W814">
            <v>36.236199999999997</v>
          </cell>
          <cell r="X814">
            <v>1.56</v>
          </cell>
          <cell r="Y814">
            <v>37.796199999999999</v>
          </cell>
        </row>
        <row r="815">
          <cell r="A815" t="str">
            <v>6261-1</v>
          </cell>
          <cell r="B815">
            <v>42471</v>
          </cell>
          <cell r="C815" t="str">
            <v>2016</v>
          </cell>
          <cell r="D815" t="str">
            <v>Corey Lock</v>
          </cell>
          <cell r="E815" t="str">
            <v>Westfield 1 Anderson St,Chatswood</v>
          </cell>
          <cell r="F815" t="str">
            <v>Sydney</v>
          </cell>
          <cell r="G815" t="str">
            <v>NSW</v>
          </cell>
          <cell r="H815" t="str">
            <v>Home Office</v>
          </cell>
          <cell r="I815" t="str">
            <v>Nicholas Fernandes</v>
          </cell>
          <cell r="J815" t="str">
            <v>High</v>
          </cell>
          <cell r="K815" t="str">
            <v>DrawIt Pizazz Watercolor Pencils, 10-Color Set with Brush</v>
          </cell>
          <cell r="L815" t="str">
            <v>Office Supplies</v>
          </cell>
          <cell r="M815" t="str">
            <v>Wrap Bag</v>
          </cell>
          <cell r="N815" t="str">
            <v>Express Air</v>
          </cell>
          <cell r="O815">
            <v>42472</v>
          </cell>
          <cell r="P815">
            <v>2.39</v>
          </cell>
          <cell r="Q815">
            <v>4.26</v>
          </cell>
          <cell r="R815">
            <v>1.8699999999999997</v>
          </cell>
          <cell r="S815">
            <v>34</v>
          </cell>
          <cell r="T815">
            <v>144.84</v>
          </cell>
          <cell r="V815">
            <v>4.3452000000000002</v>
          </cell>
          <cell r="W815">
            <v>140.4948</v>
          </cell>
          <cell r="X815">
            <v>1.2</v>
          </cell>
          <cell r="Y815">
            <v>141.69479999999999</v>
          </cell>
        </row>
        <row r="816">
          <cell r="A816" t="str">
            <v>6263-1</v>
          </cell>
          <cell r="B816">
            <v>42473</v>
          </cell>
          <cell r="C816" t="str">
            <v>2016</v>
          </cell>
          <cell r="D816" t="str">
            <v>Denny Joy</v>
          </cell>
          <cell r="E816" t="str">
            <v>99 Lygon Street,East Brunswick</v>
          </cell>
          <cell r="F816" t="str">
            <v>Melbourne</v>
          </cell>
          <cell r="G816" t="str">
            <v>VIC</v>
          </cell>
          <cell r="H816" t="str">
            <v>Corporate</v>
          </cell>
          <cell r="I816" t="str">
            <v>Connor Betts</v>
          </cell>
          <cell r="J816" t="str">
            <v>Critical</v>
          </cell>
          <cell r="K816" t="str">
            <v>Cando PC940 Copier</v>
          </cell>
          <cell r="L816" t="str">
            <v>Technology</v>
          </cell>
          <cell r="M816" t="str">
            <v>Jumbo Drum</v>
          </cell>
          <cell r="N816" t="str">
            <v>Delivery Truck</v>
          </cell>
          <cell r="O816">
            <v>42475</v>
          </cell>
          <cell r="P816">
            <v>278.99</v>
          </cell>
          <cell r="Q816">
            <v>449.99</v>
          </cell>
          <cell r="R816">
            <v>171</v>
          </cell>
          <cell r="S816">
            <v>43</v>
          </cell>
          <cell r="T816">
            <v>19349.57</v>
          </cell>
          <cell r="V816">
            <v>1160.9741999999999</v>
          </cell>
          <cell r="W816">
            <v>18188.595799999999</v>
          </cell>
          <cell r="X816">
            <v>49</v>
          </cell>
          <cell r="Y816">
            <v>18237.595799999999</v>
          </cell>
        </row>
        <row r="817">
          <cell r="A817" t="str">
            <v>6264-1</v>
          </cell>
          <cell r="B817">
            <v>42477</v>
          </cell>
          <cell r="C817" t="str">
            <v>2016</v>
          </cell>
          <cell r="D817" t="str">
            <v>Darrin Sayre</v>
          </cell>
          <cell r="E817" t="str">
            <v>Sydney Fish Market, Bank Street, Sydney</v>
          </cell>
          <cell r="F817" t="str">
            <v>Sydney</v>
          </cell>
          <cell r="G817" t="str">
            <v>NSW</v>
          </cell>
          <cell r="H817" t="str">
            <v>Consumer</v>
          </cell>
          <cell r="I817" t="str">
            <v>Phoebe Gour</v>
          </cell>
          <cell r="J817" t="str">
            <v>Low</v>
          </cell>
          <cell r="K817" t="str">
            <v>Artisan Hi-Liter Comfort Grip Fluorescent Highlighter, Yellow Ink</v>
          </cell>
          <cell r="L817" t="str">
            <v>Office Supplies</v>
          </cell>
          <cell r="M817" t="str">
            <v>Wrap Bag</v>
          </cell>
          <cell r="N817" t="str">
            <v>Regular Air</v>
          </cell>
          <cell r="O817">
            <v>42479</v>
          </cell>
          <cell r="P817">
            <v>1.05</v>
          </cell>
          <cell r="Q817">
            <v>1.95</v>
          </cell>
          <cell r="R817">
            <v>0.89999999999999991</v>
          </cell>
          <cell r="S817">
            <v>23</v>
          </cell>
          <cell r="T817">
            <v>44.85</v>
          </cell>
          <cell r="V817">
            <v>4.0365000000000002</v>
          </cell>
          <cell r="W817">
            <v>40.813500000000005</v>
          </cell>
          <cell r="X817">
            <v>1.63</v>
          </cell>
          <cell r="Y817">
            <v>42.443500000000007</v>
          </cell>
        </row>
        <row r="818">
          <cell r="A818" t="str">
            <v>6266-1</v>
          </cell>
          <cell r="B818">
            <v>42478</v>
          </cell>
          <cell r="C818" t="str">
            <v>2016</v>
          </cell>
          <cell r="D818" t="str">
            <v>Don Weiss</v>
          </cell>
          <cell r="E818" t="str">
            <v>79 Elliott St,Balmain</v>
          </cell>
          <cell r="F818" t="str">
            <v>Sydney</v>
          </cell>
          <cell r="G818" t="str">
            <v>NSW</v>
          </cell>
          <cell r="H818" t="str">
            <v>Corporate</v>
          </cell>
          <cell r="I818" t="str">
            <v>Aanya Zhang</v>
          </cell>
          <cell r="J818" t="str">
            <v>Medium</v>
          </cell>
          <cell r="K818" t="str">
            <v>3Max Polarizing Task Lamp with Clamp Arm, Light Gray</v>
          </cell>
          <cell r="L818" t="str">
            <v>Furniture</v>
          </cell>
          <cell r="M818" t="str">
            <v>Large Box</v>
          </cell>
          <cell r="N818" t="str">
            <v>Regular Air</v>
          </cell>
          <cell r="O818">
            <v>42479</v>
          </cell>
          <cell r="P818">
            <v>56.16</v>
          </cell>
          <cell r="Q818">
            <v>136.97999999999999</v>
          </cell>
          <cell r="R818">
            <v>80.819999999999993</v>
          </cell>
          <cell r="S818">
            <v>14</v>
          </cell>
          <cell r="T818">
            <v>1917.7199999999998</v>
          </cell>
          <cell r="V818">
            <v>0</v>
          </cell>
          <cell r="W818">
            <v>1917.7199999999998</v>
          </cell>
          <cell r="X818">
            <v>24.49</v>
          </cell>
          <cell r="Y818">
            <v>1942.2099999999998</v>
          </cell>
        </row>
        <row r="819">
          <cell r="A819" t="str">
            <v>6266-2</v>
          </cell>
          <cell r="B819">
            <v>42478</v>
          </cell>
          <cell r="C819" t="str">
            <v>2016</v>
          </cell>
          <cell r="D819" t="str">
            <v>Don Weiss</v>
          </cell>
          <cell r="E819" t="str">
            <v>79 Elliott St,Balmain</v>
          </cell>
          <cell r="F819" t="str">
            <v>Sydney</v>
          </cell>
          <cell r="G819" t="str">
            <v>NSW</v>
          </cell>
          <cell r="H819" t="str">
            <v>Corporate</v>
          </cell>
          <cell r="I819" t="str">
            <v>Aanya Zhang</v>
          </cell>
          <cell r="J819" t="str">
            <v>Medium</v>
          </cell>
          <cell r="K819" t="str">
            <v>Binder Clips by OIC</v>
          </cell>
          <cell r="L819" t="str">
            <v>Office Supplies</v>
          </cell>
          <cell r="M819" t="str">
            <v>Wrap Bag</v>
          </cell>
          <cell r="N819" t="str">
            <v>Regular Air</v>
          </cell>
          <cell r="O819">
            <v>42480</v>
          </cell>
          <cell r="P819">
            <v>0.93</v>
          </cell>
          <cell r="Q819">
            <v>1.48</v>
          </cell>
          <cell r="R819">
            <v>0.54999999999999993</v>
          </cell>
          <cell r="S819">
            <v>3</v>
          </cell>
          <cell r="T819">
            <v>4.4399999999999995</v>
          </cell>
          <cell r="V819">
            <v>0.44399999999999995</v>
          </cell>
          <cell r="W819">
            <v>3.9959999999999996</v>
          </cell>
          <cell r="X819">
            <v>0.7</v>
          </cell>
          <cell r="Y819">
            <v>4.6959999999999997</v>
          </cell>
        </row>
        <row r="820">
          <cell r="A820" t="str">
            <v>6269-1</v>
          </cell>
          <cell r="B820">
            <v>42483</v>
          </cell>
          <cell r="C820" t="str">
            <v>2016</v>
          </cell>
          <cell r="D820" t="str">
            <v>Cindy Chapman</v>
          </cell>
          <cell r="E820" t="str">
            <v>101 Murray Street</v>
          </cell>
          <cell r="F820" t="str">
            <v>Perth</v>
          </cell>
          <cell r="G820" t="str">
            <v>WA</v>
          </cell>
          <cell r="H820" t="str">
            <v>Corporate</v>
          </cell>
          <cell r="I820" t="str">
            <v>Tina Carlton</v>
          </cell>
          <cell r="J820" t="str">
            <v>Not Specified</v>
          </cell>
          <cell r="K820" t="str">
            <v>Bagged Rubber Bands</v>
          </cell>
          <cell r="L820" t="str">
            <v>Office Supplies</v>
          </cell>
          <cell r="M820" t="str">
            <v>Wrap Bag</v>
          </cell>
          <cell r="N820" t="str">
            <v>Regular Air</v>
          </cell>
          <cell r="O820">
            <v>42484</v>
          </cell>
          <cell r="P820">
            <v>0.24</v>
          </cell>
          <cell r="Q820">
            <v>1.26</v>
          </cell>
          <cell r="R820">
            <v>1.02</v>
          </cell>
          <cell r="S820">
            <v>11</v>
          </cell>
          <cell r="T820">
            <v>13.86</v>
          </cell>
          <cell r="V820">
            <v>0</v>
          </cell>
          <cell r="W820">
            <v>13.86</v>
          </cell>
          <cell r="X820">
            <v>0.7</v>
          </cell>
          <cell r="Y820">
            <v>14.559999999999999</v>
          </cell>
        </row>
        <row r="821">
          <cell r="A821" t="str">
            <v>6270-1</v>
          </cell>
          <cell r="B821">
            <v>42483</v>
          </cell>
          <cell r="C821" t="str">
            <v>2016</v>
          </cell>
          <cell r="D821" t="str">
            <v>Heather Kirkland</v>
          </cell>
          <cell r="E821" t="str">
            <v>541 Church St,Richmond</v>
          </cell>
          <cell r="F821" t="str">
            <v>Melbourne</v>
          </cell>
          <cell r="G821" t="str">
            <v>VIC</v>
          </cell>
          <cell r="H821" t="str">
            <v>Home Office</v>
          </cell>
          <cell r="I821" t="str">
            <v>Yvette Biti</v>
          </cell>
          <cell r="J821" t="str">
            <v>Not Specified</v>
          </cell>
          <cell r="K821" t="str">
            <v>DrawIt Colored Pencils, 48-Color Set</v>
          </cell>
          <cell r="L821" t="str">
            <v>Office Supplies</v>
          </cell>
          <cell r="M821" t="str">
            <v>Wrap Bag</v>
          </cell>
          <cell r="N821" t="str">
            <v>Regular Air</v>
          </cell>
          <cell r="O821">
            <v>42485</v>
          </cell>
          <cell r="P821">
            <v>21.56</v>
          </cell>
          <cell r="Q821">
            <v>36.549999999999997</v>
          </cell>
          <cell r="R821">
            <v>14.989999999999998</v>
          </cell>
          <cell r="S821">
            <v>17</v>
          </cell>
          <cell r="T821">
            <v>621.34999999999991</v>
          </cell>
          <cell r="V821">
            <v>55.921499999999988</v>
          </cell>
          <cell r="W821">
            <v>565.42849999999987</v>
          </cell>
          <cell r="X821">
            <v>13.89</v>
          </cell>
          <cell r="Y821">
            <v>579.31849999999986</v>
          </cell>
        </row>
        <row r="822">
          <cell r="A822" t="str">
            <v>6272-1</v>
          </cell>
          <cell r="B822">
            <v>42483</v>
          </cell>
          <cell r="C822" t="str">
            <v>2016</v>
          </cell>
          <cell r="D822" t="str">
            <v>Thomas Thornton</v>
          </cell>
          <cell r="E822" t="str">
            <v>222 Barkly St,St Kilda</v>
          </cell>
          <cell r="F822" t="str">
            <v>Melbourne</v>
          </cell>
          <cell r="G822" t="str">
            <v>VIC</v>
          </cell>
          <cell r="H822" t="str">
            <v>Consumer</v>
          </cell>
          <cell r="I822" t="str">
            <v>Yvette Biti</v>
          </cell>
          <cell r="J822" t="str">
            <v>Not Specified</v>
          </cell>
          <cell r="K822" t="str">
            <v>Smiths Gold Paper Clips</v>
          </cell>
          <cell r="L822" t="str">
            <v>Office Supplies</v>
          </cell>
          <cell r="M822" t="str">
            <v>Wrap Bag</v>
          </cell>
          <cell r="N822" t="str">
            <v>Regular Air</v>
          </cell>
          <cell r="O822">
            <v>42484</v>
          </cell>
          <cell r="P822">
            <v>1.82</v>
          </cell>
          <cell r="Q822">
            <v>2.98</v>
          </cell>
          <cell r="R822">
            <v>1.1599999999999999</v>
          </cell>
          <cell r="S822">
            <v>32</v>
          </cell>
          <cell r="T822">
            <v>95.36</v>
          </cell>
          <cell r="V822">
            <v>0.9536</v>
          </cell>
          <cell r="W822">
            <v>94.406400000000005</v>
          </cell>
          <cell r="X822">
            <v>1.58</v>
          </cell>
          <cell r="Y822">
            <v>95.986400000000003</v>
          </cell>
        </row>
        <row r="823">
          <cell r="A823" t="str">
            <v>6273-1</v>
          </cell>
          <cell r="B823">
            <v>42484</v>
          </cell>
          <cell r="C823" t="str">
            <v>2016</v>
          </cell>
          <cell r="D823" t="str">
            <v>Shahid Collister</v>
          </cell>
          <cell r="E823" t="str">
            <v>Sydney Fish Market, Bank Street, Sydney</v>
          </cell>
          <cell r="F823" t="str">
            <v>Sydney</v>
          </cell>
          <cell r="G823" t="str">
            <v>NSW</v>
          </cell>
          <cell r="H823" t="str">
            <v>Home Office</v>
          </cell>
          <cell r="I823" t="str">
            <v>Phoebe Gour</v>
          </cell>
          <cell r="J823" t="str">
            <v>High</v>
          </cell>
          <cell r="K823" t="str">
            <v>Self-Adhesive Ring Binder Labels</v>
          </cell>
          <cell r="L823" t="str">
            <v>Office Supplies</v>
          </cell>
          <cell r="M823" t="str">
            <v>Small Box</v>
          </cell>
          <cell r="N823" t="str">
            <v>Regular Air</v>
          </cell>
          <cell r="O823">
            <v>42486</v>
          </cell>
          <cell r="P823">
            <v>2.1800000000000002</v>
          </cell>
          <cell r="Q823">
            <v>3.52</v>
          </cell>
          <cell r="R823">
            <v>1.3399999999999999</v>
          </cell>
          <cell r="S823">
            <v>32</v>
          </cell>
          <cell r="T823">
            <v>112.64</v>
          </cell>
          <cell r="V823">
            <v>7.8848000000000011</v>
          </cell>
          <cell r="W823">
            <v>104.7552</v>
          </cell>
          <cell r="X823">
            <v>6.83</v>
          </cell>
          <cell r="Y823">
            <v>111.5852</v>
          </cell>
        </row>
        <row r="824">
          <cell r="A824" t="str">
            <v>6274-1</v>
          </cell>
          <cell r="B824">
            <v>42485</v>
          </cell>
          <cell r="C824" t="str">
            <v>2016</v>
          </cell>
          <cell r="D824" t="str">
            <v>Toby Carlisle</v>
          </cell>
          <cell r="E824" t="str">
            <v>6/15 Cross Street,Double Bay</v>
          </cell>
          <cell r="F824" t="str">
            <v>Sydney</v>
          </cell>
          <cell r="G824" t="str">
            <v>NSW</v>
          </cell>
          <cell r="H824" t="str">
            <v>Home Office</v>
          </cell>
          <cell r="I824" t="str">
            <v>Leighton Forrest</v>
          </cell>
          <cell r="J824" t="str">
            <v>Not Specified</v>
          </cell>
          <cell r="K824" t="str">
            <v>TechSavi Access Keyboard</v>
          </cell>
          <cell r="L824" t="str">
            <v>Technology</v>
          </cell>
          <cell r="M824" t="str">
            <v>Small Box</v>
          </cell>
          <cell r="N824" t="str">
            <v>Regular Air</v>
          </cell>
          <cell r="O824">
            <v>42486</v>
          </cell>
          <cell r="P824">
            <v>8.31</v>
          </cell>
          <cell r="Q824">
            <v>15.98</v>
          </cell>
          <cell r="R824">
            <v>7.67</v>
          </cell>
          <cell r="S824">
            <v>18</v>
          </cell>
          <cell r="T824">
            <v>287.64</v>
          </cell>
          <cell r="V824">
            <v>28.763999999999999</v>
          </cell>
          <cell r="W824">
            <v>258.87599999999998</v>
          </cell>
          <cell r="X824">
            <v>6.5</v>
          </cell>
          <cell r="Y824">
            <v>265.37599999999998</v>
          </cell>
        </row>
        <row r="825">
          <cell r="A825" t="str">
            <v>6275-1</v>
          </cell>
          <cell r="B825">
            <v>42485</v>
          </cell>
          <cell r="C825" t="str">
            <v>2016</v>
          </cell>
          <cell r="D825" t="str">
            <v>Stuart Van</v>
          </cell>
          <cell r="E825" t="str">
            <v>Westfield Sydney,Sydney</v>
          </cell>
          <cell r="F825" t="str">
            <v>Sydney</v>
          </cell>
          <cell r="G825" t="str">
            <v>NSW</v>
          </cell>
          <cell r="H825" t="str">
            <v>Consumer</v>
          </cell>
          <cell r="I825" t="str">
            <v>Natasha Song</v>
          </cell>
          <cell r="J825" t="str">
            <v>Medium</v>
          </cell>
          <cell r="K825" t="str">
            <v>Wirebound Message Book, 4 per Page</v>
          </cell>
          <cell r="L825" t="str">
            <v>Office Supplies</v>
          </cell>
          <cell r="M825" t="str">
            <v>Wrap Bag</v>
          </cell>
          <cell r="N825" t="str">
            <v>Regular Air</v>
          </cell>
          <cell r="O825">
            <v>42487</v>
          </cell>
          <cell r="P825">
            <v>3.48</v>
          </cell>
          <cell r="Q825">
            <v>5.43</v>
          </cell>
          <cell r="R825">
            <v>1.9499999999999997</v>
          </cell>
          <cell r="S825">
            <v>37</v>
          </cell>
          <cell r="T825">
            <v>200.91</v>
          </cell>
          <cell r="V825">
            <v>18.081899999999997</v>
          </cell>
          <cell r="W825">
            <v>182.82810000000001</v>
          </cell>
          <cell r="X825">
            <v>0.95</v>
          </cell>
          <cell r="Y825">
            <v>183.77809999999999</v>
          </cell>
        </row>
        <row r="826">
          <cell r="A826" t="str">
            <v>6276-1</v>
          </cell>
          <cell r="B826">
            <v>42487</v>
          </cell>
          <cell r="C826" t="str">
            <v>2016</v>
          </cell>
          <cell r="D826" t="str">
            <v>Valerie Takahito</v>
          </cell>
          <cell r="E826" t="str">
            <v>Crown Complex,Southbank</v>
          </cell>
          <cell r="F826" t="str">
            <v>Melbourne</v>
          </cell>
          <cell r="G826" t="str">
            <v>VIC</v>
          </cell>
          <cell r="H826" t="str">
            <v>Consumer</v>
          </cell>
          <cell r="I826" t="str">
            <v>Yvette Biti</v>
          </cell>
          <cell r="J826" t="str">
            <v>High</v>
          </cell>
          <cell r="K826" t="str">
            <v>Colored Envelopes</v>
          </cell>
          <cell r="L826" t="str">
            <v>Office Supplies</v>
          </cell>
          <cell r="M826" t="str">
            <v>Small Box</v>
          </cell>
          <cell r="N826" t="str">
            <v>Regular Air</v>
          </cell>
          <cell r="O826">
            <v>42488</v>
          </cell>
          <cell r="P826">
            <v>2.25</v>
          </cell>
          <cell r="Q826">
            <v>3.69</v>
          </cell>
          <cell r="R826">
            <v>1.44</v>
          </cell>
          <cell r="S826">
            <v>46</v>
          </cell>
          <cell r="T826">
            <v>169.74</v>
          </cell>
          <cell r="V826">
            <v>6.7896000000000001</v>
          </cell>
          <cell r="W826">
            <v>162.9504</v>
          </cell>
          <cell r="X826">
            <v>2.5</v>
          </cell>
          <cell r="Y826">
            <v>165.4504</v>
          </cell>
        </row>
        <row r="827">
          <cell r="A827" t="str">
            <v>6278-1</v>
          </cell>
          <cell r="B827">
            <v>42491</v>
          </cell>
          <cell r="C827" t="str">
            <v>2016</v>
          </cell>
          <cell r="D827" t="str">
            <v>Sally Knutson</v>
          </cell>
          <cell r="E827" t="str">
            <v>32/82 King Street</v>
          </cell>
          <cell r="F827" t="str">
            <v>Perth</v>
          </cell>
          <cell r="G827" t="str">
            <v>WA</v>
          </cell>
          <cell r="H827" t="str">
            <v>Consumer</v>
          </cell>
          <cell r="I827" t="str">
            <v>Mihael Khan</v>
          </cell>
          <cell r="J827" t="str">
            <v>Not Specified</v>
          </cell>
          <cell r="K827" t="str">
            <v>Artisan Durable Binders</v>
          </cell>
          <cell r="L827" t="str">
            <v>Office Supplies</v>
          </cell>
          <cell r="M827" t="str">
            <v>Small Box</v>
          </cell>
          <cell r="N827" t="str">
            <v>Regular Air</v>
          </cell>
          <cell r="O827">
            <v>42493</v>
          </cell>
          <cell r="P827">
            <v>1.84</v>
          </cell>
          <cell r="Q827">
            <v>2.88</v>
          </cell>
          <cell r="R827">
            <v>1.0399999999999998</v>
          </cell>
          <cell r="S827">
            <v>45</v>
          </cell>
          <cell r="T827">
            <v>129.6</v>
          </cell>
          <cell r="V827">
            <v>2.5920000000000001</v>
          </cell>
          <cell r="W827">
            <v>127.008</v>
          </cell>
          <cell r="X827">
            <v>1.49</v>
          </cell>
          <cell r="Y827">
            <v>128.49799999999999</v>
          </cell>
        </row>
        <row r="828">
          <cell r="A828" t="str">
            <v>6278-2</v>
          </cell>
          <cell r="B828">
            <v>42491</v>
          </cell>
          <cell r="C828" t="str">
            <v>2016</v>
          </cell>
          <cell r="D828" t="str">
            <v>Sally Knutson</v>
          </cell>
          <cell r="E828" t="str">
            <v>32/82 King Street</v>
          </cell>
          <cell r="F828" t="str">
            <v>Perth</v>
          </cell>
          <cell r="G828" t="str">
            <v>WA</v>
          </cell>
          <cell r="H828" t="str">
            <v>Consumer</v>
          </cell>
          <cell r="I828" t="str">
            <v>Mihael Khan</v>
          </cell>
          <cell r="J828" t="str">
            <v>Not Specified</v>
          </cell>
          <cell r="K828" t="str">
            <v>Beekin 6 Outlet Metallic Surge Strip</v>
          </cell>
          <cell r="L828" t="str">
            <v>Office Supplies</v>
          </cell>
          <cell r="M828" t="str">
            <v>Small Box</v>
          </cell>
          <cell r="N828" t="str">
            <v>Regular Air</v>
          </cell>
          <cell r="O828">
            <v>42492</v>
          </cell>
          <cell r="P828">
            <v>4.46</v>
          </cell>
          <cell r="Q828">
            <v>10.89</v>
          </cell>
          <cell r="R828">
            <v>6.4300000000000006</v>
          </cell>
          <cell r="S828">
            <v>39</v>
          </cell>
          <cell r="T828">
            <v>424.71000000000004</v>
          </cell>
          <cell r="V828">
            <v>25.482600000000001</v>
          </cell>
          <cell r="W828">
            <v>399.22740000000005</v>
          </cell>
          <cell r="X828">
            <v>4.5</v>
          </cell>
          <cell r="Y828">
            <v>403.72740000000005</v>
          </cell>
        </row>
        <row r="829">
          <cell r="A829" t="str">
            <v>6280-1</v>
          </cell>
          <cell r="B829">
            <v>42492</v>
          </cell>
          <cell r="C829" t="str">
            <v>2016</v>
          </cell>
          <cell r="D829" t="str">
            <v>Greg Hansen</v>
          </cell>
          <cell r="E829" t="str">
            <v>221 Barkly St,St Kilda</v>
          </cell>
          <cell r="F829" t="str">
            <v>Melbourne</v>
          </cell>
          <cell r="G829" t="str">
            <v>VIC</v>
          </cell>
          <cell r="H829" t="str">
            <v>Home Office</v>
          </cell>
          <cell r="I829" t="str">
            <v>Yvette Biti</v>
          </cell>
          <cell r="J829" t="str">
            <v>High</v>
          </cell>
          <cell r="K829" t="str">
            <v>Aluminum Document Frame</v>
          </cell>
          <cell r="L829" t="str">
            <v>Furniture</v>
          </cell>
          <cell r="M829" t="str">
            <v>Small Pack</v>
          </cell>
          <cell r="N829" t="str">
            <v>Regular Air</v>
          </cell>
          <cell r="O829">
            <v>42494</v>
          </cell>
          <cell r="P829">
            <v>5.5</v>
          </cell>
          <cell r="Q829">
            <v>12.22</v>
          </cell>
          <cell r="R829">
            <v>6.7200000000000006</v>
          </cell>
          <cell r="S829">
            <v>46</v>
          </cell>
          <cell r="T829">
            <v>562.12</v>
          </cell>
          <cell r="V829">
            <v>33.727199999999996</v>
          </cell>
          <cell r="W829">
            <v>528.39279999999997</v>
          </cell>
          <cell r="X829">
            <v>2.85</v>
          </cell>
          <cell r="Y829">
            <v>531.24279999999999</v>
          </cell>
        </row>
        <row r="830">
          <cell r="A830" t="str">
            <v>6280-2</v>
          </cell>
          <cell r="B830">
            <v>42492</v>
          </cell>
          <cell r="C830" t="str">
            <v>2016</v>
          </cell>
          <cell r="D830" t="str">
            <v>Greg Hansen</v>
          </cell>
          <cell r="E830" t="str">
            <v>221 Barkly St,St Kilda</v>
          </cell>
          <cell r="F830" t="str">
            <v>Melbourne</v>
          </cell>
          <cell r="G830" t="str">
            <v>VIC</v>
          </cell>
          <cell r="H830" t="str">
            <v>Home Office</v>
          </cell>
          <cell r="I830" t="str">
            <v>Yvette Biti</v>
          </cell>
          <cell r="J830" t="str">
            <v>High</v>
          </cell>
          <cell r="K830" t="str">
            <v>Artisan Poly Binder Pockets</v>
          </cell>
          <cell r="L830" t="str">
            <v>Office Supplies</v>
          </cell>
          <cell r="M830" t="str">
            <v>Small Box</v>
          </cell>
          <cell r="N830" t="str">
            <v>Regular Air</v>
          </cell>
          <cell r="O830">
            <v>42493</v>
          </cell>
          <cell r="P830">
            <v>2.2599999999999998</v>
          </cell>
          <cell r="Q830">
            <v>3.58</v>
          </cell>
          <cell r="R830">
            <v>1.3200000000000003</v>
          </cell>
          <cell r="S830">
            <v>8</v>
          </cell>
          <cell r="T830">
            <v>28.64</v>
          </cell>
          <cell r="V830">
            <v>2.5775999999999999</v>
          </cell>
          <cell r="W830">
            <v>26.0624</v>
          </cell>
          <cell r="X830">
            <v>5.47</v>
          </cell>
          <cell r="Y830">
            <v>31.532399999999999</v>
          </cell>
        </row>
        <row r="831">
          <cell r="A831" t="str">
            <v>6281-1</v>
          </cell>
          <cell r="B831">
            <v>42492</v>
          </cell>
          <cell r="C831" t="str">
            <v>2016</v>
          </cell>
          <cell r="D831" t="str">
            <v>Scott Cohen</v>
          </cell>
          <cell r="E831" t="str">
            <v>240-242 Johnston Street,Fitzroy</v>
          </cell>
          <cell r="F831" t="str">
            <v>Melbourne</v>
          </cell>
          <cell r="G831" t="str">
            <v>VIC</v>
          </cell>
          <cell r="H831" t="str">
            <v>Consumer</v>
          </cell>
          <cell r="I831" t="str">
            <v>Connor Betts</v>
          </cell>
          <cell r="J831" t="str">
            <v>Not Specified</v>
          </cell>
          <cell r="K831" t="str">
            <v>Apex Preferred Stainless Steel Scissors</v>
          </cell>
          <cell r="L831" t="str">
            <v>Office Supplies</v>
          </cell>
          <cell r="M831" t="str">
            <v>Small Pack</v>
          </cell>
          <cell r="N831" t="str">
            <v>Regular Air</v>
          </cell>
          <cell r="O831">
            <v>42493</v>
          </cell>
          <cell r="P831">
            <v>2.5</v>
          </cell>
          <cell r="Q831">
            <v>5.68</v>
          </cell>
          <cell r="R831">
            <v>3.1799999999999997</v>
          </cell>
          <cell r="S831">
            <v>25</v>
          </cell>
          <cell r="T831">
            <v>142</v>
          </cell>
          <cell r="V831">
            <v>14.200000000000001</v>
          </cell>
          <cell r="W831">
            <v>127.8</v>
          </cell>
          <cell r="X831">
            <v>3.6</v>
          </cell>
          <cell r="Y831">
            <v>131.4</v>
          </cell>
        </row>
        <row r="832">
          <cell r="A832" t="str">
            <v>6285-1</v>
          </cell>
          <cell r="B832">
            <v>42495</v>
          </cell>
          <cell r="C832" t="str">
            <v>2016</v>
          </cell>
          <cell r="D832" t="str">
            <v>Shaun Weien</v>
          </cell>
          <cell r="E832" t="str">
            <v>310 Wattle St,Ultimo</v>
          </cell>
          <cell r="F832" t="str">
            <v>Sydney</v>
          </cell>
          <cell r="G832" t="str">
            <v>NSW</v>
          </cell>
          <cell r="H832" t="str">
            <v>Home Office</v>
          </cell>
          <cell r="I832" t="str">
            <v>Aanya Zhang</v>
          </cell>
          <cell r="J832" t="str">
            <v>Medium</v>
          </cell>
          <cell r="K832" t="str">
            <v>Artisan Heavy-Duty EZD  Binder With Locking Rings</v>
          </cell>
          <cell r="L832" t="str">
            <v>Office Supplies</v>
          </cell>
          <cell r="M832" t="str">
            <v>Small Box</v>
          </cell>
          <cell r="N832" t="str">
            <v>Regular Air</v>
          </cell>
          <cell r="O832">
            <v>42497</v>
          </cell>
          <cell r="P832">
            <v>3.52</v>
          </cell>
          <cell r="Q832">
            <v>5.58</v>
          </cell>
          <cell r="R832">
            <v>2.06</v>
          </cell>
          <cell r="S832">
            <v>13</v>
          </cell>
          <cell r="T832">
            <v>72.540000000000006</v>
          </cell>
          <cell r="V832">
            <v>4.3524000000000003</v>
          </cell>
          <cell r="W832">
            <v>68.187600000000003</v>
          </cell>
          <cell r="X832">
            <v>2.99</v>
          </cell>
          <cell r="Y832">
            <v>71.177599999999998</v>
          </cell>
        </row>
        <row r="833">
          <cell r="A833" t="str">
            <v>6287-1</v>
          </cell>
          <cell r="B833">
            <v>42498</v>
          </cell>
          <cell r="C833" t="str">
            <v>2016</v>
          </cell>
          <cell r="D833" t="str">
            <v>Michelle Moray</v>
          </cell>
          <cell r="E833" t="str">
            <v>310 Wattle St,Ultimo</v>
          </cell>
          <cell r="F833" t="str">
            <v>Sydney</v>
          </cell>
          <cell r="G833" t="str">
            <v>NSW</v>
          </cell>
          <cell r="H833" t="str">
            <v>Corporate</v>
          </cell>
          <cell r="I833" t="str">
            <v>Aanya Zhang</v>
          </cell>
          <cell r="J833" t="str">
            <v>Low</v>
          </cell>
          <cell r="K833" t="str">
            <v>Fluorescent Highlighters by DrawIt</v>
          </cell>
          <cell r="L833" t="str">
            <v>Office Supplies</v>
          </cell>
          <cell r="M833" t="str">
            <v>Wrap Bag</v>
          </cell>
          <cell r="N833" t="str">
            <v>Regular Air</v>
          </cell>
          <cell r="O833">
            <v>42502</v>
          </cell>
          <cell r="P833">
            <v>1.95</v>
          </cell>
          <cell r="Q833">
            <v>3.98</v>
          </cell>
          <cell r="R833">
            <v>2.0300000000000002</v>
          </cell>
          <cell r="S833">
            <v>27</v>
          </cell>
          <cell r="T833">
            <v>107.46</v>
          </cell>
          <cell r="V833">
            <v>6.4475999999999996</v>
          </cell>
          <cell r="W833">
            <v>101.0124</v>
          </cell>
          <cell r="X833">
            <v>0.83</v>
          </cell>
          <cell r="Y833">
            <v>101.8424</v>
          </cell>
        </row>
        <row r="834">
          <cell r="A834" t="str">
            <v>6288-1</v>
          </cell>
          <cell r="B834">
            <v>42498</v>
          </cell>
          <cell r="C834" t="str">
            <v>2016</v>
          </cell>
          <cell r="D834" t="str">
            <v>Quincy Jones</v>
          </cell>
          <cell r="E834" t="str">
            <v>Shop 3/144 Waterloo Road,Greenacre</v>
          </cell>
          <cell r="F834" t="str">
            <v>Sydney</v>
          </cell>
          <cell r="G834" t="str">
            <v>NSW</v>
          </cell>
          <cell r="H834" t="str">
            <v>Corporate</v>
          </cell>
          <cell r="I834" t="str">
            <v>Samantha Chairs</v>
          </cell>
          <cell r="J834" t="str">
            <v>Low</v>
          </cell>
          <cell r="K834" t="str">
            <v>OIC Thumb-Tacks</v>
          </cell>
          <cell r="L834" t="str">
            <v>Office Supplies</v>
          </cell>
          <cell r="M834" t="str">
            <v>Wrap Bag</v>
          </cell>
          <cell r="N834" t="str">
            <v>Regular Air</v>
          </cell>
          <cell r="O834">
            <v>42498</v>
          </cell>
          <cell r="P834">
            <v>0.71</v>
          </cell>
          <cell r="Q834">
            <v>1.1399999999999999</v>
          </cell>
          <cell r="R834">
            <v>0.42999999999999994</v>
          </cell>
          <cell r="S834">
            <v>20</v>
          </cell>
          <cell r="T834">
            <v>22.799999999999997</v>
          </cell>
          <cell r="V834">
            <v>2.0519999999999996</v>
          </cell>
          <cell r="W834">
            <v>20.747999999999998</v>
          </cell>
          <cell r="X834">
            <v>0.7</v>
          </cell>
          <cell r="Y834">
            <v>21.447999999999997</v>
          </cell>
        </row>
        <row r="835">
          <cell r="A835" t="str">
            <v>6290-1</v>
          </cell>
          <cell r="B835">
            <v>42499</v>
          </cell>
          <cell r="C835" t="str">
            <v>2016</v>
          </cell>
          <cell r="D835" t="str">
            <v>Cindy Stewart</v>
          </cell>
          <cell r="E835" t="str">
            <v>1/173-179 Bronte Rd,Waverley</v>
          </cell>
          <cell r="F835" t="str">
            <v>Sydney</v>
          </cell>
          <cell r="G835" t="str">
            <v>NSW</v>
          </cell>
          <cell r="H835" t="str">
            <v>Corporate</v>
          </cell>
          <cell r="I835" t="str">
            <v>Leighton Forrest</v>
          </cell>
          <cell r="J835" t="str">
            <v>High</v>
          </cell>
          <cell r="K835" t="str">
            <v>24 Capacity Maxi Data Binder Racks, Pearl</v>
          </cell>
          <cell r="L835" t="str">
            <v>Office Supplies</v>
          </cell>
          <cell r="M835" t="str">
            <v>Small Box</v>
          </cell>
          <cell r="N835" t="str">
            <v>Regular Air</v>
          </cell>
          <cell r="O835">
            <v>42501</v>
          </cell>
          <cell r="P835">
            <v>84.22</v>
          </cell>
          <cell r="Q835">
            <v>210.55</v>
          </cell>
          <cell r="R835">
            <v>126.33000000000001</v>
          </cell>
          <cell r="S835">
            <v>4</v>
          </cell>
          <cell r="T835">
            <v>842.2</v>
          </cell>
          <cell r="V835">
            <v>42.110000000000007</v>
          </cell>
          <cell r="W835">
            <v>800.09</v>
          </cell>
          <cell r="X835">
            <v>9.99</v>
          </cell>
          <cell r="Y835">
            <v>810.08</v>
          </cell>
        </row>
        <row r="836">
          <cell r="A836" t="str">
            <v>6291-1</v>
          </cell>
          <cell r="B836">
            <v>42500</v>
          </cell>
          <cell r="C836" t="str">
            <v>2016</v>
          </cell>
          <cell r="D836" t="str">
            <v>Roy Collins</v>
          </cell>
          <cell r="E836" t="str">
            <v>6 Brookman Street</v>
          </cell>
          <cell r="F836" t="str">
            <v>Perth</v>
          </cell>
          <cell r="G836" t="str">
            <v>WA</v>
          </cell>
          <cell r="H836" t="str">
            <v>Corporate</v>
          </cell>
          <cell r="I836" t="str">
            <v>Natasha Song</v>
          </cell>
          <cell r="J836" t="str">
            <v>Not Specified</v>
          </cell>
          <cell r="K836" t="str">
            <v>Smiths Standard Envelopes</v>
          </cell>
          <cell r="L836" t="str">
            <v>Office Supplies</v>
          </cell>
          <cell r="M836" t="str">
            <v>Small Box</v>
          </cell>
          <cell r="N836" t="str">
            <v>Regular Air</v>
          </cell>
          <cell r="O836">
            <v>42502</v>
          </cell>
          <cell r="P836">
            <v>3.52</v>
          </cell>
          <cell r="Q836">
            <v>5.68</v>
          </cell>
          <cell r="R836">
            <v>2.1599999999999997</v>
          </cell>
          <cell r="S836">
            <v>34</v>
          </cell>
          <cell r="T836">
            <v>193.12</v>
          </cell>
          <cell r="V836">
            <v>11.587199999999999</v>
          </cell>
          <cell r="W836">
            <v>181.53280000000001</v>
          </cell>
          <cell r="X836">
            <v>1.39</v>
          </cell>
          <cell r="Y836">
            <v>182.9228</v>
          </cell>
        </row>
        <row r="837">
          <cell r="A837" t="str">
            <v>6293-1</v>
          </cell>
          <cell r="B837">
            <v>42502</v>
          </cell>
          <cell r="C837" t="str">
            <v>2016</v>
          </cell>
          <cell r="D837" t="str">
            <v>John Lee</v>
          </cell>
          <cell r="E837" t="str">
            <v>180 High Street,Windsor</v>
          </cell>
          <cell r="F837" t="str">
            <v>Melbourne</v>
          </cell>
          <cell r="G837" t="str">
            <v>VIC</v>
          </cell>
          <cell r="H837" t="str">
            <v>Corporate</v>
          </cell>
          <cell r="I837" t="str">
            <v>Connor Betts</v>
          </cell>
          <cell r="J837" t="str">
            <v>Critical</v>
          </cell>
          <cell r="K837" t="str">
            <v>Self-Adhesive Ring Binder Labels</v>
          </cell>
          <cell r="L837" t="str">
            <v>Office Supplies</v>
          </cell>
          <cell r="M837" t="str">
            <v>Small Box</v>
          </cell>
          <cell r="N837" t="str">
            <v>Regular Air</v>
          </cell>
          <cell r="O837">
            <v>42504</v>
          </cell>
          <cell r="P837">
            <v>2.1800000000000002</v>
          </cell>
          <cell r="Q837">
            <v>3.52</v>
          </cell>
          <cell r="R837">
            <v>1.3399999999999999</v>
          </cell>
          <cell r="S837">
            <v>42</v>
          </cell>
          <cell r="T837">
            <v>147.84</v>
          </cell>
          <cell r="V837">
            <v>5.9136000000000006</v>
          </cell>
          <cell r="W837">
            <v>141.9264</v>
          </cell>
          <cell r="X837">
            <v>6.83</v>
          </cell>
          <cell r="Y837">
            <v>148.75640000000001</v>
          </cell>
        </row>
        <row r="838">
          <cell r="A838" t="str">
            <v>6294-1</v>
          </cell>
          <cell r="B838">
            <v>42504</v>
          </cell>
          <cell r="C838" t="str">
            <v>2016</v>
          </cell>
          <cell r="D838" t="str">
            <v>Sonia Sunley</v>
          </cell>
          <cell r="E838" t="str">
            <v>1/50-58 Hunter St,Sydney</v>
          </cell>
          <cell r="F838" t="str">
            <v>Sydney</v>
          </cell>
          <cell r="G838" t="str">
            <v>NSW</v>
          </cell>
          <cell r="H838" t="str">
            <v>Corporate</v>
          </cell>
          <cell r="I838" t="str">
            <v>Preston Senome</v>
          </cell>
          <cell r="J838" t="str">
            <v>Not Specified</v>
          </cell>
          <cell r="K838" t="str">
            <v>Artisan 487 Labels</v>
          </cell>
          <cell r="L838" t="str">
            <v>Office Supplies</v>
          </cell>
          <cell r="M838" t="str">
            <v>Small Box</v>
          </cell>
          <cell r="N838" t="str">
            <v>Regular Air</v>
          </cell>
          <cell r="O838">
            <v>42506</v>
          </cell>
          <cell r="P838">
            <v>2.29</v>
          </cell>
          <cell r="Q838">
            <v>3.69</v>
          </cell>
          <cell r="R838">
            <v>1.4</v>
          </cell>
          <cell r="S838">
            <v>47</v>
          </cell>
          <cell r="T838">
            <v>173.43</v>
          </cell>
          <cell r="V838">
            <v>8.6715</v>
          </cell>
          <cell r="W838">
            <v>164.7585</v>
          </cell>
          <cell r="X838">
            <v>0.5</v>
          </cell>
          <cell r="Y838">
            <v>165.2585</v>
          </cell>
        </row>
        <row r="839">
          <cell r="A839" t="str">
            <v>6295-1</v>
          </cell>
          <cell r="B839">
            <v>42504</v>
          </cell>
          <cell r="C839" t="str">
            <v>2016</v>
          </cell>
          <cell r="D839" t="str">
            <v>George Ashbrook</v>
          </cell>
          <cell r="E839" t="str">
            <v>506 Swan Street,Richmond</v>
          </cell>
          <cell r="F839" t="str">
            <v>Melbourne</v>
          </cell>
          <cell r="G839" t="str">
            <v>VIC</v>
          </cell>
          <cell r="H839" t="str">
            <v>Small Business</v>
          </cell>
          <cell r="I839" t="str">
            <v>Connor Betts</v>
          </cell>
          <cell r="J839" t="str">
            <v>Not Specified</v>
          </cell>
          <cell r="K839" t="str">
            <v>Economy Binders</v>
          </cell>
          <cell r="L839" t="str">
            <v>Office Supplies</v>
          </cell>
          <cell r="M839" t="str">
            <v>Small Box</v>
          </cell>
          <cell r="N839" t="str">
            <v>Regular Air</v>
          </cell>
          <cell r="O839">
            <v>42506</v>
          </cell>
          <cell r="P839">
            <v>1.33</v>
          </cell>
          <cell r="Q839">
            <v>2.08</v>
          </cell>
          <cell r="R839">
            <v>0.75</v>
          </cell>
          <cell r="S839">
            <v>43</v>
          </cell>
          <cell r="T839">
            <v>89.44</v>
          </cell>
          <cell r="V839">
            <v>4.4720000000000004</v>
          </cell>
          <cell r="W839">
            <v>84.968000000000004</v>
          </cell>
          <cell r="X839">
            <v>1.49</v>
          </cell>
          <cell r="Y839">
            <v>86.457999999999998</v>
          </cell>
        </row>
        <row r="840">
          <cell r="A840" t="str">
            <v>6295-1</v>
          </cell>
          <cell r="B840">
            <v>42507</v>
          </cell>
          <cell r="C840" t="str">
            <v>2016</v>
          </cell>
          <cell r="D840" t="str">
            <v>Muhammed MacIntyre</v>
          </cell>
          <cell r="E840" t="str">
            <v>106 Ebley Street,Bondi Junction</v>
          </cell>
          <cell r="F840" t="str">
            <v>Sydney</v>
          </cell>
          <cell r="G840" t="str">
            <v>NSW</v>
          </cell>
          <cell r="H840" t="str">
            <v>Small Business</v>
          </cell>
          <cell r="I840" t="str">
            <v>Leighton Forrest</v>
          </cell>
          <cell r="J840" t="str">
            <v>High</v>
          </cell>
          <cell r="K840" t="str">
            <v>Smiths Pen Style Liquid Stix; Assorted (yellow, pink, green, blue, orange), 5/Pack</v>
          </cell>
          <cell r="L840" t="str">
            <v>Office Supplies</v>
          </cell>
          <cell r="M840" t="str">
            <v>Wrap Bag</v>
          </cell>
          <cell r="N840" t="str">
            <v>Regular Air</v>
          </cell>
          <cell r="O840">
            <v>42508</v>
          </cell>
          <cell r="P840">
            <v>3.88</v>
          </cell>
          <cell r="Q840">
            <v>6.47</v>
          </cell>
          <cell r="R840">
            <v>2.59</v>
          </cell>
          <cell r="S840">
            <v>7</v>
          </cell>
          <cell r="T840">
            <v>45.29</v>
          </cell>
          <cell r="V840">
            <v>0.90580000000000005</v>
          </cell>
          <cell r="W840">
            <v>44.3842</v>
          </cell>
          <cell r="X840">
            <v>1.22</v>
          </cell>
          <cell r="Y840">
            <v>45.604199999999999</v>
          </cell>
        </row>
        <row r="841">
          <cell r="A841" t="str">
            <v>6296-1</v>
          </cell>
          <cell r="B841">
            <v>42508</v>
          </cell>
          <cell r="C841" t="str">
            <v>2016</v>
          </cell>
          <cell r="D841" t="str">
            <v>Frank Price</v>
          </cell>
          <cell r="E841" t="str">
            <v>224A Gertrude St,Fitzroy</v>
          </cell>
          <cell r="F841" t="str">
            <v>Melbourne</v>
          </cell>
          <cell r="G841" t="str">
            <v>VIC</v>
          </cell>
          <cell r="H841" t="str">
            <v>Corporate</v>
          </cell>
          <cell r="I841" t="str">
            <v>Connor Betts</v>
          </cell>
          <cell r="J841" t="str">
            <v>Not Specified</v>
          </cell>
          <cell r="K841" t="str">
            <v>Multi-Use Personal File Cart and Caster Set, Three Stacking Bins</v>
          </cell>
          <cell r="L841" t="str">
            <v>Office Supplies</v>
          </cell>
          <cell r="M841" t="str">
            <v>Small Box</v>
          </cell>
          <cell r="N841" t="str">
            <v>Regular Air</v>
          </cell>
          <cell r="O841">
            <v>42510</v>
          </cell>
          <cell r="P841">
            <v>14.95</v>
          </cell>
          <cell r="Q841">
            <v>34.76</v>
          </cell>
          <cell r="R841">
            <v>19.809999999999999</v>
          </cell>
          <cell r="S841">
            <v>8</v>
          </cell>
          <cell r="T841">
            <v>278.08</v>
          </cell>
          <cell r="V841">
            <v>0</v>
          </cell>
          <cell r="W841">
            <v>278.08</v>
          </cell>
          <cell r="X841">
            <v>8.2200000000000006</v>
          </cell>
          <cell r="Y841">
            <v>286.3</v>
          </cell>
        </row>
        <row r="842">
          <cell r="A842" t="str">
            <v>6298-1</v>
          </cell>
          <cell r="B842">
            <v>42509</v>
          </cell>
          <cell r="C842" t="str">
            <v>2016</v>
          </cell>
          <cell r="D842" t="str">
            <v>Rose OBrian</v>
          </cell>
          <cell r="E842" t="str">
            <v>157 Norton St,Leichhardt</v>
          </cell>
          <cell r="F842" t="str">
            <v>Sydney</v>
          </cell>
          <cell r="G842" t="str">
            <v>NSW</v>
          </cell>
          <cell r="H842" t="str">
            <v>Home Office</v>
          </cell>
          <cell r="I842" t="str">
            <v>Stevie Bacata</v>
          </cell>
          <cell r="J842" t="str">
            <v>Medium</v>
          </cell>
          <cell r="K842" t="str">
            <v>Pizazz Colored Pencils</v>
          </cell>
          <cell r="L842" t="str">
            <v>Office Supplies</v>
          </cell>
          <cell r="M842" t="str">
            <v>Wrap Bag</v>
          </cell>
          <cell r="N842" t="str">
            <v>Regular Air</v>
          </cell>
          <cell r="O842">
            <v>42510</v>
          </cell>
          <cell r="P842">
            <v>1.76</v>
          </cell>
          <cell r="Q842">
            <v>2.94</v>
          </cell>
          <cell r="R842">
            <v>1.18</v>
          </cell>
          <cell r="S842">
            <v>31</v>
          </cell>
          <cell r="T842">
            <v>91.14</v>
          </cell>
          <cell r="V842">
            <v>3.6456</v>
          </cell>
          <cell r="W842">
            <v>87.494399999999999</v>
          </cell>
          <cell r="X842">
            <v>0.81</v>
          </cell>
          <cell r="Y842">
            <v>88.304400000000001</v>
          </cell>
        </row>
        <row r="843">
          <cell r="A843" t="str">
            <v>6300-1</v>
          </cell>
          <cell r="B843">
            <v>42511</v>
          </cell>
          <cell r="C843" t="str">
            <v>2016</v>
          </cell>
          <cell r="D843" t="str">
            <v>Dana Kaydos</v>
          </cell>
          <cell r="E843" t="str">
            <v>152 Bunnerong Road,Eastgardens</v>
          </cell>
          <cell r="F843" t="str">
            <v>Sydney</v>
          </cell>
          <cell r="G843" t="str">
            <v>NSW</v>
          </cell>
          <cell r="H843" t="str">
            <v>Corporate</v>
          </cell>
          <cell r="I843" t="str">
            <v>Tina Carlton</v>
          </cell>
          <cell r="J843" t="str">
            <v>Critical</v>
          </cell>
          <cell r="K843" t="str">
            <v>Aluminum Document Frame</v>
          </cell>
          <cell r="L843" t="str">
            <v>Furniture</v>
          </cell>
          <cell r="M843" t="str">
            <v>Small Pack</v>
          </cell>
          <cell r="N843" t="str">
            <v>Regular Air</v>
          </cell>
          <cell r="O843">
            <v>42512</v>
          </cell>
          <cell r="P843">
            <v>5.5</v>
          </cell>
          <cell r="Q843">
            <v>12.22</v>
          </cell>
          <cell r="R843">
            <v>6.7200000000000006</v>
          </cell>
          <cell r="S843">
            <v>10</v>
          </cell>
          <cell r="T843">
            <v>122.2</v>
          </cell>
          <cell r="V843">
            <v>1.222</v>
          </cell>
          <cell r="W843">
            <v>120.97800000000001</v>
          </cell>
          <cell r="X843">
            <v>2.85</v>
          </cell>
          <cell r="Y843">
            <v>123.828</v>
          </cell>
        </row>
        <row r="844">
          <cell r="A844" t="str">
            <v>6301-1</v>
          </cell>
          <cell r="B844">
            <v>42511</v>
          </cell>
          <cell r="C844" t="str">
            <v>2016</v>
          </cell>
          <cell r="D844" t="str">
            <v>Eric Barreto</v>
          </cell>
          <cell r="E844" t="str">
            <v>14 Money Street</v>
          </cell>
          <cell r="F844" t="str">
            <v>Perth</v>
          </cell>
          <cell r="G844" t="str">
            <v>WA</v>
          </cell>
          <cell r="H844" t="str">
            <v>Small Business</v>
          </cell>
          <cell r="I844" t="str">
            <v>Phoebe Gour</v>
          </cell>
          <cell r="J844" t="str">
            <v>Critical</v>
          </cell>
          <cell r="K844" t="str">
            <v>Ames Color-File Green Diamond Border X-ray Mailers</v>
          </cell>
          <cell r="L844" t="str">
            <v>Office Supplies</v>
          </cell>
          <cell r="M844" t="str">
            <v>Small Box</v>
          </cell>
          <cell r="N844" t="str">
            <v>Regular Air</v>
          </cell>
          <cell r="O844">
            <v>42511</v>
          </cell>
          <cell r="P844">
            <v>52.07</v>
          </cell>
          <cell r="Q844">
            <v>83.98</v>
          </cell>
          <cell r="R844">
            <v>31.910000000000004</v>
          </cell>
          <cell r="S844">
            <v>46</v>
          </cell>
          <cell r="T844">
            <v>3863.0800000000004</v>
          </cell>
          <cell r="V844">
            <v>231.78480000000002</v>
          </cell>
          <cell r="W844">
            <v>3631.2952000000005</v>
          </cell>
          <cell r="X844">
            <v>5.01</v>
          </cell>
          <cell r="Y844">
            <v>3636.3052000000007</v>
          </cell>
        </row>
        <row r="845">
          <cell r="A845" t="str">
            <v>6302-1</v>
          </cell>
          <cell r="B845">
            <v>42511</v>
          </cell>
          <cell r="C845" t="str">
            <v>2016</v>
          </cell>
          <cell r="D845" t="str">
            <v>John Lucas</v>
          </cell>
          <cell r="E845" t="str">
            <v>188 Pitt Street,Sydney</v>
          </cell>
          <cell r="F845" t="str">
            <v>Sydney</v>
          </cell>
          <cell r="G845" t="str">
            <v>NSW</v>
          </cell>
          <cell r="H845" t="str">
            <v>Corporate</v>
          </cell>
          <cell r="I845" t="str">
            <v>Tina Carlton</v>
          </cell>
          <cell r="J845" t="str">
            <v>Critical</v>
          </cell>
          <cell r="K845" t="str">
            <v>Multi-Use Personal File Cart and Caster Set, Three Stacking Bins</v>
          </cell>
          <cell r="L845" t="str">
            <v>Office Supplies</v>
          </cell>
          <cell r="M845" t="str">
            <v>Small Box</v>
          </cell>
          <cell r="N845" t="str">
            <v>Regular Air</v>
          </cell>
          <cell r="O845">
            <v>42512</v>
          </cell>
          <cell r="P845">
            <v>14.95</v>
          </cell>
          <cell r="Q845">
            <v>34.76</v>
          </cell>
          <cell r="R845">
            <v>19.809999999999999</v>
          </cell>
          <cell r="S845">
            <v>47</v>
          </cell>
          <cell r="T845">
            <v>1633.7199999999998</v>
          </cell>
          <cell r="V845">
            <v>147.03479999999999</v>
          </cell>
          <cell r="W845">
            <v>1486.6851999999999</v>
          </cell>
          <cell r="X845">
            <v>8.2200000000000006</v>
          </cell>
          <cell r="Y845">
            <v>1494.9051999999999</v>
          </cell>
        </row>
        <row r="846">
          <cell r="A846" t="str">
            <v>6303-1</v>
          </cell>
          <cell r="B846">
            <v>42512</v>
          </cell>
          <cell r="C846" t="str">
            <v>2016</v>
          </cell>
          <cell r="D846" t="str">
            <v>Thais Sissman</v>
          </cell>
          <cell r="E846" t="str">
            <v>8 Orange Street</v>
          </cell>
          <cell r="F846" t="str">
            <v>Perth</v>
          </cell>
          <cell r="G846" t="str">
            <v>WA</v>
          </cell>
          <cell r="H846" t="str">
            <v>Corporate</v>
          </cell>
          <cell r="I846" t="str">
            <v>Tina Carlton</v>
          </cell>
          <cell r="J846" t="str">
            <v>Medium</v>
          </cell>
          <cell r="K846" t="str">
            <v>Beekin 6 Outlet Metallic Surge Strip</v>
          </cell>
          <cell r="L846" t="str">
            <v>Office Supplies</v>
          </cell>
          <cell r="M846" t="str">
            <v>Small Box</v>
          </cell>
          <cell r="N846" t="str">
            <v>Regular Air</v>
          </cell>
          <cell r="O846">
            <v>42514</v>
          </cell>
          <cell r="P846">
            <v>4.46</v>
          </cell>
          <cell r="Q846">
            <v>10.89</v>
          </cell>
          <cell r="R846">
            <v>6.4300000000000006</v>
          </cell>
          <cell r="S846">
            <v>1</v>
          </cell>
          <cell r="T846">
            <v>10.89</v>
          </cell>
          <cell r="V846">
            <v>0</v>
          </cell>
          <cell r="W846">
            <v>10.89</v>
          </cell>
          <cell r="X846">
            <v>4.5</v>
          </cell>
          <cell r="Y846">
            <v>15.39</v>
          </cell>
        </row>
        <row r="847">
          <cell r="A847" t="str">
            <v>6304-1</v>
          </cell>
          <cell r="B847">
            <v>42512</v>
          </cell>
          <cell r="C847" t="str">
            <v>2016</v>
          </cell>
          <cell r="D847" t="str">
            <v>Eva Jacobs</v>
          </cell>
          <cell r="E847" t="str">
            <v>Westfield 1 Anderson St,Chatswood</v>
          </cell>
          <cell r="F847" t="str">
            <v>Sydney</v>
          </cell>
          <cell r="G847" t="str">
            <v>NSW</v>
          </cell>
          <cell r="H847" t="str">
            <v>Home Office</v>
          </cell>
          <cell r="I847" t="str">
            <v>Nicholas Fernandes</v>
          </cell>
          <cell r="J847" t="str">
            <v>Not Specified</v>
          </cell>
          <cell r="K847" t="str">
            <v>Smiths General Use 3-Ring Binders</v>
          </cell>
          <cell r="L847" t="str">
            <v>Office Supplies</v>
          </cell>
          <cell r="M847" t="str">
            <v>Small Box</v>
          </cell>
          <cell r="N847" t="str">
            <v>Regular Air</v>
          </cell>
          <cell r="O847">
            <v>42513</v>
          </cell>
          <cell r="P847">
            <v>1.18</v>
          </cell>
          <cell r="Q847">
            <v>1.88</v>
          </cell>
          <cell r="R847">
            <v>0.7</v>
          </cell>
          <cell r="S847">
            <v>22</v>
          </cell>
          <cell r="T847">
            <v>41.36</v>
          </cell>
          <cell r="V847">
            <v>3.7223999999999999</v>
          </cell>
          <cell r="W847">
            <v>37.637599999999999</v>
          </cell>
          <cell r="X847">
            <v>1.49</v>
          </cell>
          <cell r="Y847">
            <v>39.127600000000001</v>
          </cell>
        </row>
        <row r="848">
          <cell r="A848" t="str">
            <v>6306-1</v>
          </cell>
          <cell r="B848">
            <v>42513</v>
          </cell>
          <cell r="C848" t="str">
            <v>2016</v>
          </cell>
          <cell r="D848" t="str">
            <v>Daniel Lacy</v>
          </cell>
          <cell r="E848" t="str">
            <v>85-113 Dunning Ave,Roseberry</v>
          </cell>
          <cell r="F848" t="str">
            <v>Sydney</v>
          </cell>
          <cell r="G848" t="str">
            <v>NSW</v>
          </cell>
          <cell r="H848" t="str">
            <v>Small Business</v>
          </cell>
          <cell r="I848" t="str">
            <v>Mihael Khan</v>
          </cell>
          <cell r="J848" t="str">
            <v>High</v>
          </cell>
          <cell r="K848" t="str">
            <v>DrawIt Pizazz Watercolor Pencils, 10-Color Set with Brush</v>
          </cell>
          <cell r="L848" t="str">
            <v>Office Supplies</v>
          </cell>
          <cell r="M848" t="str">
            <v>Wrap Bag</v>
          </cell>
          <cell r="N848" t="str">
            <v>Express Air</v>
          </cell>
          <cell r="O848">
            <v>42514</v>
          </cell>
          <cell r="P848">
            <v>2.39</v>
          </cell>
          <cell r="Q848">
            <v>4.26</v>
          </cell>
          <cell r="R848">
            <v>1.8699999999999997</v>
          </cell>
          <cell r="S848">
            <v>5</v>
          </cell>
          <cell r="T848">
            <v>21.299999999999997</v>
          </cell>
          <cell r="V848">
            <v>0.21299999999999997</v>
          </cell>
          <cell r="W848">
            <v>21.086999999999996</v>
          </cell>
          <cell r="X848">
            <v>1.2</v>
          </cell>
          <cell r="Y848">
            <v>22.286999999999995</v>
          </cell>
        </row>
        <row r="849">
          <cell r="A849" t="str">
            <v>6307-1</v>
          </cell>
          <cell r="B849">
            <v>42516</v>
          </cell>
          <cell r="C849" t="str">
            <v>2016</v>
          </cell>
          <cell r="D849" t="str">
            <v>Jim Karlsson</v>
          </cell>
          <cell r="E849" t="str">
            <v>1-2/299 Sussex St,Sydney</v>
          </cell>
          <cell r="F849" t="str">
            <v>Sydney</v>
          </cell>
          <cell r="G849" t="str">
            <v>NSW</v>
          </cell>
          <cell r="H849" t="str">
            <v>Small Business</v>
          </cell>
          <cell r="I849" t="str">
            <v>Aanya Zhang</v>
          </cell>
          <cell r="J849" t="str">
            <v>Medium</v>
          </cell>
          <cell r="K849" t="str">
            <v>Airmail Envelopes</v>
          </cell>
          <cell r="L849" t="str">
            <v>Office Supplies</v>
          </cell>
          <cell r="M849" t="str">
            <v>Small Box</v>
          </cell>
          <cell r="N849" t="str">
            <v>Regular Air</v>
          </cell>
          <cell r="O849">
            <v>42517</v>
          </cell>
          <cell r="P849">
            <v>52.04</v>
          </cell>
          <cell r="Q849">
            <v>83.93</v>
          </cell>
          <cell r="R849">
            <v>31.890000000000008</v>
          </cell>
          <cell r="S849">
            <v>5</v>
          </cell>
          <cell r="T849">
            <v>419.65000000000003</v>
          </cell>
          <cell r="V849">
            <v>16.786000000000001</v>
          </cell>
          <cell r="W849">
            <v>402.86400000000003</v>
          </cell>
          <cell r="X849">
            <v>19.989999999999998</v>
          </cell>
          <cell r="Y849">
            <v>422.85400000000004</v>
          </cell>
        </row>
        <row r="850">
          <cell r="A850" t="str">
            <v>6309-1</v>
          </cell>
          <cell r="B850">
            <v>42517</v>
          </cell>
          <cell r="C850" t="str">
            <v>2016</v>
          </cell>
          <cell r="D850" t="str">
            <v>Lela Donovan</v>
          </cell>
          <cell r="E850" t="str">
            <v>255 Devonshire St,Surry Hills</v>
          </cell>
          <cell r="F850" t="str">
            <v>Sydney</v>
          </cell>
          <cell r="G850" t="str">
            <v>NSW</v>
          </cell>
          <cell r="H850" t="str">
            <v>Corporate</v>
          </cell>
          <cell r="I850" t="str">
            <v>Aanya Zhang</v>
          </cell>
          <cell r="J850" t="str">
            <v>Not Specified</v>
          </cell>
          <cell r="K850" t="str">
            <v>Artisan Printable Repositionable Plastic Tabs</v>
          </cell>
          <cell r="L850" t="str">
            <v>Office Supplies</v>
          </cell>
          <cell r="M850" t="str">
            <v>Small Box</v>
          </cell>
          <cell r="N850" t="str">
            <v>Regular Air</v>
          </cell>
          <cell r="O850">
            <v>42517</v>
          </cell>
          <cell r="P850">
            <v>5.33</v>
          </cell>
          <cell r="Q850">
            <v>8.6</v>
          </cell>
          <cell r="R850">
            <v>3.2699999999999996</v>
          </cell>
          <cell r="S850">
            <v>1</v>
          </cell>
          <cell r="T850">
            <v>8.6</v>
          </cell>
          <cell r="V850">
            <v>0.51600000000000001</v>
          </cell>
          <cell r="W850">
            <v>8.0839999999999996</v>
          </cell>
          <cell r="X850">
            <v>6.19</v>
          </cell>
          <cell r="Y850">
            <v>14.274000000000001</v>
          </cell>
        </row>
        <row r="851">
          <cell r="A851" t="str">
            <v>6311-1</v>
          </cell>
          <cell r="B851">
            <v>42519</v>
          </cell>
          <cell r="C851" t="str">
            <v>2016</v>
          </cell>
          <cell r="D851" t="str">
            <v>Peter Buhler</v>
          </cell>
          <cell r="E851" t="str">
            <v>2-4 College Street, Darlinghurst</v>
          </cell>
          <cell r="F851" t="str">
            <v>Sydney</v>
          </cell>
          <cell r="G851" t="str">
            <v>NSW</v>
          </cell>
          <cell r="H851" t="str">
            <v>Consumer</v>
          </cell>
          <cell r="I851" t="str">
            <v>Nicholas Fernandes</v>
          </cell>
          <cell r="J851" t="str">
            <v>Medium</v>
          </cell>
          <cell r="K851" t="str">
            <v>Multi-Use Personal File Cart and Caster Set, Three Stacking Bins</v>
          </cell>
          <cell r="L851" t="str">
            <v>Office Supplies</v>
          </cell>
          <cell r="M851" t="str">
            <v>Small Box</v>
          </cell>
          <cell r="N851" t="str">
            <v>Regular Air</v>
          </cell>
          <cell r="O851">
            <v>42520</v>
          </cell>
          <cell r="P851">
            <v>14.95</v>
          </cell>
          <cell r="Q851">
            <v>34.76</v>
          </cell>
          <cell r="R851">
            <v>19.809999999999999</v>
          </cell>
          <cell r="S851">
            <v>32</v>
          </cell>
          <cell r="T851">
            <v>1112.32</v>
          </cell>
          <cell r="V851">
            <v>22.246399999999998</v>
          </cell>
          <cell r="W851">
            <v>1090.0735999999999</v>
          </cell>
          <cell r="X851">
            <v>8.2200000000000006</v>
          </cell>
          <cell r="Y851">
            <v>1098.2936</v>
          </cell>
        </row>
        <row r="852">
          <cell r="A852" t="str">
            <v>6313-1</v>
          </cell>
          <cell r="B852">
            <v>42520</v>
          </cell>
          <cell r="C852" t="str">
            <v>2016</v>
          </cell>
          <cell r="D852" t="str">
            <v>Emily Grady</v>
          </cell>
          <cell r="E852" t="str">
            <v>14 Money Street</v>
          </cell>
          <cell r="F852" t="str">
            <v>Perth</v>
          </cell>
          <cell r="G852" t="str">
            <v>WA</v>
          </cell>
          <cell r="H852" t="str">
            <v>Home Office</v>
          </cell>
          <cell r="I852" t="str">
            <v>Phoebe Gour</v>
          </cell>
          <cell r="J852" t="str">
            <v>Medium</v>
          </cell>
          <cell r="K852" t="str">
            <v>TechSavi Internet Navigator Keyboard</v>
          </cell>
          <cell r="L852" t="str">
            <v>Technology</v>
          </cell>
          <cell r="M852" t="str">
            <v>Small Box</v>
          </cell>
          <cell r="N852" t="str">
            <v>Regular Air</v>
          </cell>
          <cell r="O852">
            <v>42520</v>
          </cell>
          <cell r="P852">
            <v>6.2</v>
          </cell>
          <cell r="Q852">
            <v>30.98</v>
          </cell>
          <cell r="R852">
            <v>24.78</v>
          </cell>
          <cell r="S852">
            <v>24</v>
          </cell>
          <cell r="T852">
            <v>743.52</v>
          </cell>
          <cell r="V852">
            <v>59.4816</v>
          </cell>
          <cell r="W852">
            <v>684.03840000000002</v>
          </cell>
          <cell r="X852">
            <v>4</v>
          </cell>
          <cell r="Y852">
            <v>688.03840000000002</v>
          </cell>
        </row>
        <row r="853">
          <cell r="A853" t="str">
            <v>6315-1</v>
          </cell>
          <cell r="B853">
            <v>42521</v>
          </cell>
          <cell r="C853" t="str">
            <v>2016</v>
          </cell>
          <cell r="D853" t="str">
            <v>Christy Brittain</v>
          </cell>
          <cell r="E853" t="str">
            <v>Shop 1, 186-190 Church Street,Parramatta;46a Macleay Street,Potts Point</v>
          </cell>
          <cell r="F853" t="str">
            <v>Sydney</v>
          </cell>
          <cell r="G853" t="str">
            <v>NSW</v>
          </cell>
          <cell r="H853" t="str">
            <v>Consumer</v>
          </cell>
          <cell r="I853" t="str">
            <v>Mihael Khan</v>
          </cell>
          <cell r="J853" t="str">
            <v>Low</v>
          </cell>
          <cell r="K853" t="str">
            <v>Office Shears by Apex</v>
          </cell>
          <cell r="L853" t="str">
            <v>Office Supplies</v>
          </cell>
          <cell r="M853" t="str">
            <v>Small Pack</v>
          </cell>
          <cell r="N853" t="str">
            <v>Regular Air</v>
          </cell>
          <cell r="O853">
            <v>42523</v>
          </cell>
          <cell r="P853">
            <v>0.94</v>
          </cell>
          <cell r="Q853">
            <v>2.08</v>
          </cell>
          <cell r="R853">
            <v>1.1400000000000001</v>
          </cell>
          <cell r="S853">
            <v>49</v>
          </cell>
          <cell r="T853">
            <v>101.92</v>
          </cell>
          <cell r="V853">
            <v>8.1536000000000008</v>
          </cell>
          <cell r="W853">
            <v>93.766400000000004</v>
          </cell>
          <cell r="X853">
            <v>2.56</v>
          </cell>
          <cell r="Y853">
            <v>96.326400000000007</v>
          </cell>
        </row>
        <row r="854">
          <cell r="A854" t="str">
            <v>6316-1</v>
          </cell>
          <cell r="B854">
            <v>42521</v>
          </cell>
          <cell r="C854" t="str">
            <v>2016</v>
          </cell>
          <cell r="D854" t="str">
            <v>Bill Donatelli</v>
          </cell>
          <cell r="E854" t="str">
            <v>101 Murray Street, Perth</v>
          </cell>
          <cell r="F854" t="str">
            <v>Perth</v>
          </cell>
          <cell r="G854" t="str">
            <v>WA</v>
          </cell>
          <cell r="H854" t="str">
            <v>Small Business</v>
          </cell>
          <cell r="I854" t="str">
            <v>Phoebe Gour</v>
          </cell>
          <cell r="J854" t="str">
            <v>High</v>
          </cell>
          <cell r="K854" t="str">
            <v>TechSavi Cordless Access Keyboard</v>
          </cell>
          <cell r="L854" t="str">
            <v>Technology</v>
          </cell>
          <cell r="M854" t="str">
            <v>Small Box</v>
          </cell>
          <cell r="N854" t="str">
            <v>Regular Air</v>
          </cell>
          <cell r="O854">
            <v>42524</v>
          </cell>
          <cell r="P854">
            <v>14.7</v>
          </cell>
          <cell r="Q854">
            <v>29.99</v>
          </cell>
          <cell r="R854">
            <v>15.29</v>
          </cell>
          <cell r="S854">
            <v>1</v>
          </cell>
          <cell r="T854">
            <v>29.99</v>
          </cell>
          <cell r="V854">
            <v>1.1996</v>
          </cell>
          <cell r="W854">
            <v>28.790399999999998</v>
          </cell>
          <cell r="X854">
            <v>5.5</v>
          </cell>
          <cell r="Y854">
            <v>34.290399999999998</v>
          </cell>
        </row>
        <row r="855">
          <cell r="A855" t="str">
            <v>6317-1</v>
          </cell>
          <cell r="B855">
            <v>42523</v>
          </cell>
          <cell r="C855" t="str">
            <v>2016</v>
          </cell>
          <cell r="D855" t="str">
            <v>Jim Kriz</v>
          </cell>
          <cell r="E855" t="str">
            <v>85-113 Dunning Ave,Roseberry</v>
          </cell>
          <cell r="F855" t="str">
            <v>Sydney</v>
          </cell>
          <cell r="G855" t="str">
            <v>NSW</v>
          </cell>
          <cell r="H855" t="str">
            <v>Consumer</v>
          </cell>
          <cell r="I855" t="str">
            <v>Mihael Khan</v>
          </cell>
          <cell r="J855" t="str">
            <v>Critical</v>
          </cell>
          <cell r="K855" t="str">
            <v>Smiths Bulk Pack Metal Binder Clips</v>
          </cell>
          <cell r="L855" t="str">
            <v>Office Supplies</v>
          </cell>
          <cell r="M855" t="str">
            <v>Wrap Bag</v>
          </cell>
          <cell r="N855" t="str">
            <v>Regular Air</v>
          </cell>
          <cell r="O855">
            <v>42525</v>
          </cell>
          <cell r="P855">
            <v>3.95</v>
          </cell>
          <cell r="Q855">
            <v>6.08</v>
          </cell>
          <cell r="R855">
            <v>2.13</v>
          </cell>
          <cell r="S855">
            <v>50</v>
          </cell>
          <cell r="T855">
            <v>304</v>
          </cell>
          <cell r="V855">
            <v>27.36</v>
          </cell>
          <cell r="W855">
            <v>276.64</v>
          </cell>
          <cell r="X855">
            <v>1.82</v>
          </cell>
          <cell r="Y855">
            <v>278.45999999999998</v>
          </cell>
        </row>
        <row r="856">
          <cell r="A856" t="str">
            <v>6319-1</v>
          </cell>
          <cell r="B856">
            <v>42524</v>
          </cell>
          <cell r="C856" t="str">
            <v>2016</v>
          </cell>
          <cell r="D856" t="str">
            <v>Brad Eason</v>
          </cell>
          <cell r="E856" t="str">
            <v>8/2 Edward Street, Perth</v>
          </cell>
          <cell r="F856" t="str">
            <v>Sydney</v>
          </cell>
          <cell r="G856" t="str">
            <v>NSW</v>
          </cell>
          <cell r="H856" t="str">
            <v>Small Business</v>
          </cell>
          <cell r="I856" t="str">
            <v>Nicholas Fernandes</v>
          </cell>
          <cell r="J856" t="str">
            <v>Critical</v>
          </cell>
          <cell r="K856" t="str">
            <v>Artisan 481 Labels</v>
          </cell>
          <cell r="L856" t="str">
            <v>Office Supplies</v>
          </cell>
          <cell r="M856" t="str">
            <v>Small Box</v>
          </cell>
          <cell r="N856" t="str">
            <v>Regular Air</v>
          </cell>
          <cell r="O856">
            <v>42525</v>
          </cell>
          <cell r="P856">
            <v>1.94</v>
          </cell>
          <cell r="Q856">
            <v>3.08</v>
          </cell>
          <cell r="R856">
            <v>1.1400000000000001</v>
          </cell>
          <cell r="S856">
            <v>11</v>
          </cell>
          <cell r="T856">
            <v>33.880000000000003</v>
          </cell>
          <cell r="V856">
            <v>1.0164</v>
          </cell>
          <cell r="W856">
            <v>32.863600000000005</v>
          </cell>
          <cell r="X856">
            <v>0.99</v>
          </cell>
          <cell r="Y856">
            <v>33.853600000000007</v>
          </cell>
        </row>
        <row r="857">
          <cell r="A857" t="str">
            <v>6320-1</v>
          </cell>
          <cell r="B857">
            <v>42524</v>
          </cell>
          <cell r="C857" t="str">
            <v>2016</v>
          </cell>
          <cell r="D857" t="str">
            <v>Jeremy Farry</v>
          </cell>
          <cell r="E857" t="str">
            <v>181 Enmore Rd,Enmore</v>
          </cell>
          <cell r="F857" t="str">
            <v>Sydney</v>
          </cell>
          <cell r="G857" t="str">
            <v>NSW</v>
          </cell>
          <cell r="H857" t="str">
            <v>Small Business</v>
          </cell>
          <cell r="I857" t="str">
            <v>Radhya Staples</v>
          </cell>
          <cell r="J857" t="str">
            <v>Not Specified</v>
          </cell>
          <cell r="K857" t="str">
            <v>OIC Thumb-Tacks</v>
          </cell>
          <cell r="L857" t="str">
            <v>Office Supplies</v>
          </cell>
          <cell r="M857" t="str">
            <v>Wrap Bag</v>
          </cell>
          <cell r="N857" t="str">
            <v>Regular Air</v>
          </cell>
          <cell r="O857">
            <v>42526</v>
          </cell>
          <cell r="P857">
            <v>0.71</v>
          </cell>
          <cell r="Q857">
            <v>1.1399999999999999</v>
          </cell>
          <cell r="R857">
            <v>0.42999999999999994</v>
          </cell>
          <cell r="S857">
            <v>3</v>
          </cell>
          <cell r="T857">
            <v>3.42</v>
          </cell>
          <cell r="V857">
            <v>0.34200000000000003</v>
          </cell>
          <cell r="W857">
            <v>3.0779999999999998</v>
          </cell>
          <cell r="X857">
            <v>0.7</v>
          </cell>
          <cell r="Y857">
            <v>3.7779999999999996</v>
          </cell>
        </row>
        <row r="858">
          <cell r="A858" t="str">
            <v>6321-1</v>
          </cell>
          <cell r="B858">
            <v>42532</v>
          </cell>
          <cell r="C858" t="str">
            <v>2016</v>
          </cell>
          <cell r="D858" t="str">
            <v>Chuck Clark</v>
          </cell>
          <cell r="E858" t="str">
            <v>101 Murray Street</v>
          </cell>
          <cell r="F858" t="str">
            <v>Perth</v>
          </cell>
          <cell r="G858" t="str">
            <v>WA</v>
          </cell>
          <cell r="H858" t="str">
            <v>Corporate</v>
          </cell>
          <cell r="I858" t="str">
            <v>Tina Carlton</v>
          </cell>
          <cell r="J858" t="str">
            <v>Critical</v>
          </cell>
          <cell r="K858" t="str">
            <v>Steady Liquid Accent Tank-Style Highlighters</v>
          </cell>
          <cell r="L858" t="str">
            <v>Office Supplies</v>
          </cell>
          <cell r="M858" t="str">
            <v>Wrap Bag</v>
          </cell>
          <cell r="N858" t="str">
            <v>Regular Air</v>
          </cell>
          <cell r="O858">
            <v>42533</v>
          </cell>
          <cell r="P858">
            <v>1.31</v>
          </cell>
          <cell r="Q858">
            <v>2.84</v>
          </cell>
          <cell r="R858">
            <v>1.5299999999999998</v>
          </cell>
          <cell r="S858">
            <v>9</v>
          </cell>
          <cell r="T858">
            <v>25.56</v>
          </cell>
          <cell r="V858">
            <v>2.0448</v>
          </cell>
          <cell r="W858">
            <v>23.5152</v>
          </cell>
          <cell r="X858">
            <v>0.93</v>
          </cell>
          <cell r="Y858">
            <v>24.4452</v>
          </cell>
        </row>
        <row r="859">
          <cell r="A859" t="str">
            <v>6322-1</v>
          </cell>
          <cell r="B859">
            <v>42534</v>
          </cell>
          <cell r="C859" t="str">
            <v>2016</v>
          </cell>
          <cell r="D859" t="str">
            <v>Vicky Freymann</v>
          </cell>
          <cell r="E859" t="str">
            <v>501 George St,Sydney</v>
          </cell>
          <cell r="F859" t="str">
            <v>Sydney</v>
          </cell>
          <cell r="G859" t="str">
            <v>NSW</v>
          </cell>
          <cell r="H859" t="str">
            <v>Home Office</v>
          </cell>
          <cell r="I859" t="str">
            <v>Samantha Chairs</v>
          </cell>
          <cell r="J859" t="str">
            <v>Critical</v>
          </cell>
          <cell r="K859" t="str">
            <v>Adesso Programmable 142-Key Keyboard</v>
          </cell>
          <cell r="L859" t="str">
            <v>Technology</v>
          </cell>
          <cell r="M859" t="str">
            <v>Small Box</v>
          </cell>
          <cell r="N859" t="str">
            <v>Regular Air</v>
          </cell>
          <cell r="O859">
            <v>42536</v>
          </cell>
          <cell r="P859">
            <v>32.020000000000003</v>
          </cell>
          <cell r="Q859">
            <v>152.47999999999999</v>
          </cell>
          <cell r="R859">
            <v>120.45999999999998</v>
          </cell>
          <cell r="S859">
            <v>12</v>
          </cell>
          <cell r="T859">
            <v>1829.7599999999998</v>
          </cell>
          <cell r="V859">
            <v>182.976</v>
          </cell>
          <cell r="W859">
            <v>1646.7839999999997</v>
          </cell>
          <cell r="X859">
            <v>4</v>
          </cell>
          <cell r="Y859">
            <v>1650.7839999999997</v>
          </cell>
        </row>
        <row r="860">
          <cell r="A860" t="str">
            <v>6324-1</v>
          </cell>
          <cell r="B860">
            <v>42535</v>
          </cell>
          <cell r="C860" t="str">
            <v>2016</v>
          </cell>
          <cell r="D860" t="str">
            <v>Vivek Grady</v>
          </cell>
          <cell r="E860" t="str">
            <v>99 Lygon Street,East Brunswick</v>
          </cell>
          <cell r="F860" t="str">
            <v>Melbourne</v>
          </cell>
          <cell r="G860" t="str">
            <v>VIC</v>
          </cell>
          <cell r="H860" t="str">
            <v>Home Office</v>
          </cell>
          <cell r="I860" t="str">
            <v>Connor Betts</v>
          </cell>
          <cell r="J860" t="str">
            <v>Low</v>
          </cell>
          <cell r="K860" t="str">
            <v>1726 Digital Answering Machine</v>
          </cell>
          <cell r="L860" t="str">
            <v>Technology</v>
          </cell>
          <cell r="M860" t="str">
            <v>Medium Box</v>
          </cell>
          <cell r="N860" t="str">
            <v>Regular Air</v>
          </cell>
          <cell r="O860">
            <v>42535</v>
          </cell>
          <cell r="P860">
            <v>8.82</v>
          </cell>
          <cell r="Q860">
            <v>20.99</v>
          </cell>
          <cell r="R860">
            <v>12.169999999999998</v>
          </cell>
          <cell r="S860">
            <v>2</v>
          </cell>
          <cell r="T860">
            <v>41.98</v>
          </cell>
          <cell r="V860">
            <v>0.41979999999999995</v>
          </cell>
          <cell r="W860">
            <v>41.560199999999995</v>
          </cell>
          <cell r="X860">
            <v>4.8099999999999996</v>
          </cell>
          <cell r="Y860">
            <v>46.370199999999997</v>
          </cell>
        </row>
        <row r="861">
          <cell r="A861" t="str">
            <v>6325-1</v>
          </cell>
          <cell r="B861">
            <v>42535</v>
          </cell>
          <cell r="C861" t="str">
            <v>2016</v>
          </cell>
          <cell r="D861" t="str">
            <v>Edward Nazzal</v>
          </cell>
          <cell r="E861" t="str">
            <v>2a/285A Crown St,Surry Hills</v>
          </cell>
          <cell r="F861" t="str">
            <v>Sydney</v>
          </cell>
          <cell r="G861" t="str">
            <v>NSW</v>
          </cell>
          <cell r="H861" t="str">
            <v>Home Office</v>
          </cell>
          <cell r="I861" t="str">
            <v>Phoebe Gour</v>
          </cell>
          <cell r="J861" t="str">
            <v>High</v>
          </cell>
          <cell r="K861" t="str">
            <v>Adesso Programmable 142-Key Keyboard</v>
          </cell>
          <cell r="L861" t="str">
            <v>Technology</v>
          </cell>
          <cell r="M861" t="str">
            <v>Small Box</v>
          </cell>
          <cell r="N861" t="str">
            <v>Regular Air</v>
          </cell>
          <cell r="O861">
            <v>42537</v>
          </cell>
          <cell r="P861">
            <v>32.020000000000003</v>
          </cell>
          <cell r="Q861">
            <v>152.47999999999999</v>
          </cell>
          <cell r="R861">
            <v>120.45999999999998</v>
          </cell>
          <cell r="S861">
            <v>37</v>
          </cell>
          <cell r="T861">
            <v>5641.7599999999993</v>
          </cell>
          <cell r="V861">
            <v>564.17599999999993</v>
          </cell>
          <cell r="W861">
            <v>5077.5839999999989</v>
          </cell>
          <cell r="X861">
            <v>4</v>
          </cell>
          <cell r="Y861">
            <v>5081.5839999999989</v>
          </cell>
        </row>
        <row r="862">
          <cell r="A862" t="str">
            <v>6325-2</v>
          </cell>
          <cell r="B862">
            <v>42535</v>
          </cell>
          <cell r="C862" t="str">
            <v>2016</v>
          </cell>
          <cell r="D862" t="str">
            <v>Edward Nazzal</v>
          </cell>
          <cell r="E862" t="str">
            <v>2a/285A Crown St,Surry Hills</v>
          </cell>
          <cell r="F862" t="str">
            <v>Sydney</v>
          </cell>
          <cell r="G862" t="str">
            <v>NSW</v>
          </cell>
          <cell r="H862" t="str">
            <v>Home Office</v>
          </cell>
          <cell r="I862" t="str">
            <v>Phoebe Gour</v>
          </cell>
          <cell r="J862" t="str">
            <v>High</v>
          </cell>
          <cell r="K862" t="str">
            <v>Laser DVD-RAM discs</v>
          </cell>
          <cell r="L862" t="str">
            <v>Technology</v>
          </cell>
          <cell r="M862" t="str">
            <v>Small Pack</v>
          </cell>
          <cell r="N862" t="str">
            <v>Regular Air</v>
          </cell>
          <cell r="O862">
            <v>42537</v>
          </cell>
          <cell r="P862">
            <v>20.18</v>
          </cell>
          <cell r="Q862">
            <v>35.409999999999997</v>
          </cell>
          <cell r="R862">
            <v>15.229999999999997</v>
          </cell>
          <cell r="S862">
            <v>30</v>
          </cell>
          <cell r="T862">
            <v>1062.3</v>
          </cell>
          <cell r="V862">
            <v>84.983999999999995</v>
          </cell>
          <cell r="W862">
            <v>977.31599999999992</v>
          </cell>
          <cell r="X862">
            <v>1.99</v>
          </cell>
          <cell r="Y862">
            <v>979.30599999999993</v>
          </cell>
        </row>
        <row r="863">
          <cell r="A863" t="str">
            <v>6327-1</v>
          </cell>
          <cell r="B863">
            <v>42535</v>
          </cell>
          <cell r="C863" t="str">
            <v>2016</v>
          </cell>
          <cell r="D863" t="str">
            <v>Christina Anderson</v>
          </cell>
          <cell r="E863" t="str">
            <v>438 Victoria Avenue,Chatswood</v>
          </cell>
          <cell r="F863" t="str">
            <v>Sydney</v>
          </cell>
          <cell r="G863" t="str">
            <v>NSW</v>
          </cell>
          <cell r="H863" t="str">
            <v>Corporate</v>
          </cell>
          <cell r="I863" t="str">
            <v>Natasha Song</v>
          </cell>
          <cell r="J863" t="str">
            <v>Critical</v>
          </cell>
          <cell r="K863" t="str">
            <v>Multimedia Mailers</v>
          </cell>
          <cell r="L863" t="str">
            <v>Office Supplies</v>
          </cell>
          <cell r="M863" t="str">
            <v>Small Box</v>
          </cell>
          <cell r="N863" t="str">
            <v>Express Air</v>
          </cell>
          <cell r="O863">
            <v>42536</v>
          </cell>
          <cell r="P863">
            <v>99.39</v>
          </cell>
          <cell r="Q863">
            <v>162.93</v>
          </cell>
          <cell r="R863">
            <v>63.540000000000006</v>
          </cell>
          <cell r="S863">
            <v>36</v>
          </cell>
          <cell r="T863">
            <v>5865.4800000000005</v>
          </cell>
          <cell r="V863">
            <v>293.27400000000006</v>
          </cell>
          <cell r="W863">
            <v>5572.2060000000001</v>
          </cell>
          <cell r="X863">
            <v>19.989999999999998</v>
          </cell>
          <cell r="Y863">
            <v>5592.1959999999999</v>
          </cell>
        </row>
        <row r="864">
          <cell r="A864" t="str">
            <v>6328-1</v>
          </cell>
          <cell r="B864">
            <v>42535</v>
          </cell>
          <cell r="C864" t="str">
            <v>2016</v>
          </cell>
          <cell r="D864" t="str">
            <v>Vivek Grady</v>
          </cell>
          <cell r="E864" t="str">
            <v>99 Lygon Street,East Brunswick</v>
          </cell>
          <cell r="F864" t="str">
            <v>Melbourne</v>
          </cell>
          <cell r="G864" t="str">
            <v>VIC</v>
          </cell>
          <cell r="H864" t="str">
            <v>Home Office</v>
          </cell>
          <cell r="I864" t="str">
            <v>Connor Betts</v>
          </cell>
          <cell r="J864" t="str">
            <v>Low</v>
          </cell>
          <cell r="K864" t="str">
            <v>OIC Thumb-Tacks</v>
          </cell>
          <cell r="L864" t="str">
            <v>Office Supplies</v>
          </cell>
          <cell r="M864" t="str">
            <v>Wrap Bag</v>
          </cell>
          <cell r="N864" t="str">
            <v>Regular Air</v>
          </cell>
          <cell r="O864">
            <v>42540</v>
          </cell>
          <cell r="P864">
            <v>0.71</v>
          </cell>
          <cell r="Q864">
            <v>1.1399999999999999</v>
          </cell>
          <cell r="R864">
            <v>0.42999999999999994</v>
          </cell>
          <cell r="S864">
            <v>31</v>
          </cell>
          <cell r="T864">
            <v>35.339999999999996</v>
          </cell>
          <cell r="V864">
            <v>2.4737999999999998</v>
          </cell>
          <cell r="W864">
            <v>32.866199999999999</v>
          </cell>
          <cell r="X864">
            <v>0.7</v>
          </cell>
          <cell r="Y864">
            <v>33.566200000000002</v>
          </cell>
        </row>
        <row r="865">
          <cell r="A865" t="str">
            <v>6329-1</v>
          </cell>
          <cell r="B865">
            <v>42536</v>
          </cell>
          <cell r="C865" t="str">
            <v>2016</v>
          </cell>
          <cell r="D865" t="str">
            <v>Arthur Prichep</v>
          </cell>
          <cell r="E865" t="str">
            <v>14/76 Newcastle Street, Perth</v>
          </cell>
          <cell r="F865" t="str">
            <v>Sydney</v>
          </cell>
          <cell r="G865" t="str">
            <v>NSW</v>
          </cell>
          <cell r="H865" t="str">
            <v>Home Office</v>
          </cell>
          <cell r="I865" t="str">
            <v>Phoebe Gour</v>
          </cell>
          <cell r="J865" t="str">
            <v>Low</v>
          </cell>
          <cell r="K865" t="str">
            <v>Artisan Flip-Chart Easel Binder, Black</v>
          </cell>
          <cell r="L865" t="str">
            <v>Office Supplies</v>
          </cell>
          <cell r="M865" t="str">
            <v>Small Box</v>
          </cell>
          <cell r="N865" t="str">
            <v>Regular Air</v>
          </cell>
          <cell r="O865">
            <v>42538</v>
          </cell>
          <cell r="P865">
            <v>13.88</v>
          </cell>
          <cell r="Q865">
            <v>22.38</v>
          </cell>
          <cell r="R865">
            <v>8.4999999999999982</v>
          </cell>
          <cell r="S865">
            <v>11</v>
          </cell>
          <cell r="T865">
            <v>246.17999999999998</v>
          </cell>
          <cell r="V865">
            <v>2.4617999999999998</v>
          </cell>
          <cell r="W865">
            <v>243.71819999999997</v>
          </cell>
          <cell r="X865">
            <v>15.1</v>
          </cell>
          <cell r="Y865">
            <v>258.81819999999999</v>
          </cell>
        </row>
        <row r="866">
          <cell r="A866" t="str">
            <v>6330-1</v>
          </cell>
          <cell r="B866">
            <v>42536</v>
          </cell>
          <cell r="C866" t="str">
            <v>2016</v>
          </cell>
          <cell r="D866" t="str">
            <v>Neil Knudson</v>
          </cell>
          <cell r="E866" t="str">
            <v>4A Lyons St,Strathfield</v>
          </cell>
          <cell r="F866" t="str">
            <v>Sydney</v>
          </cell>
          <cell r="G866" t="str">
            <v>NSW</v>
          </cell>
          <cell r="H866" t="str">
            <v>Corporate</v>
          </cell>
          <cell r="I866" t="str">
            <v>Tina Carlton</v>
          </cell>
          <cell r="J866" t="str">
            <v>Not Specified</v>
          </cell>
          <cell r="K866" t="str">
            <v>Steady EarthWrite Recycled Pencils, Medium Soft, #2</v>
          </cell>
          <cell r="L866" t="str">
            <v>Office Supplies</v>
          </cell>
          <cell r="M866" t="str">
            <v>Wrap Bag</v>
          </cell>
          <cell r="N866" t="str">
            <v>Express Air</v>
          </cell>
          <cell r="O866">
            <v>42538</v>
          </cell>
          <cell r="P866">
            <v>0.9</v>
          </cell>
          <cell r="Q866">
            <v>2.1</v>
          </cell>
          <cell r="R866">
            <v>1.2000000000000002</v>
          </cell>
          <cell r="S866">
            <v>31</v>
          </cell>
          <cell r="T866">
            <v>65.100000000000009</v>
          </cell>
          <cell r="V866">
            <v>5.2080000000000011</v>
          </cell>
          <cell r="W866">
            <v>59.89200000000001</v>
          </cell>
          <cell r="X866">
            <v>0.7</v>
          </cell>
          <cell r="Y866">
            <v>60.592000000000013</v>
          </cell>
        </row>
        <row r="867">
          <cell r="A867" t="str">
            <v>6332-1</v>
          </cell>
          <cell r="B867">
            <v>42539</v>
          </cell>
          <cell r="C867" t="str">
            <v>2016</v>
          </cell>
          <cell r="D867" t="str">
            <v>Shaun Weien</v>
          </cell>
          <cell r="E867" t="str">
            <v>310 Wattle St,Ultimo</v>
          </cell>
          <cell r="F867" t="str">
            <v>Sydney</v>
          </cell>
          <cell r="G867" t="str">
            <v>NSW</v>
          </cell>
          <cell r="H867" t="str">
            <v>Home Office</v>
          </cell>
          <cell r="I867" t="str">
            <v>Aanya Zhang</v>
          </cell>
          <cell r="J867" t="str">
            <v>Low</v>
          </cell>
          <cell r="K867" t="str">
            <v>UGen RF Keyboard</v>
          </cell>
          <cell r="L867" t="str">
            <v>Technology</v>
          </cell>
          <cell r="M867" t="str">
            <v>Small Box</v>
          </cell>
          <cell r="N867" t="str">
            <v>Regular Air</v>
          </cell>
          <cell r="O867">
            <v>42541</v>
          </cell>
          <cell r="P867">
            <v>81.59</v>
          </cell>
          <cell r="Q867">
            <v>159.99</v>
          </cell>
          <cell r="R867">
            <v>78.400000000000006</v>
          </cell>
          <cell r="S867">
            <v>31</v>
          </cell>
          <cell r="T867">
            <v>4959.6900000000005</v>
          </cell>
          <cell r="V867">
            <v>49.596900000000005</v>
          </cell>
          <cell r="W867">
            <v>4910.0931</v>
          </cell>
          <cell r="X867">
            <v>5.5</v>
          </cell>
          <cell r="Y867">
            <v>4915.5931</v>
          </cell>
        </row>
        <row r="868">
          <cell r="A868" t="str">
            <v>6333-1</v>
          </cell>
          <cell r="B868">
            <v>42540</v>
          </cell>
          <cell r="C868" t="str">
            <v>2016</v>
          </cell>
          <cell r="D868" t="str">
            <v>John Huston</v>
          </cell>
          <cell r="E868" t="str">
            <v>154 Castlereagh St,Sydney</v>
          </cell>
          <cell r="F868" t="str">
            <v>Sydney</v>
          </cell>
          <cell r="G868" t="str">
            <v>NSW</v>
          </cell>
          <cell r="H868" t="str">
            <v>Consumer</v>
          </cell>
          <cell r="I868" t="str">
            <v>Samantha Chairs</v>
          </cell>
          <cell r="J868" t="str">
            <v>Medium</v>
          </cell>
          <cell r="K868" t="str">
            <v>Apex Preferred Stainless Steel Scissors</v>
          </cell>
          <cell r="L868" t="str">
            <v>Office Supplies</v>
          </cell>
          <cell r="M868" t="str">
            <v>Small Pack</v>
          </cell>
          <cell r="N868" t="str">
            <v>Regular Air</v>
          </cell>
          <cell r="O868">
            <v>42541</v>
          </cell>
          <cell r="P868">
            <v>2.5</v>
          </cell>
          <cell r="Q868">
            <v>5.68</v>
          </cell>
          <cell r="R868">
            <v>3.1799999999999997</v>
          </cell>
          <cell r="S868">
            <v>27</v>
          </cell>
          <cell r="T868">
            <v>153.35999999999999</v>
          </cell>
          <cell r="V868">
            <v>4.6007999999999996</v>
          </cell>
          <cell r="W868">
            <v>148.75919999999999</v>
          </cell>
          <cell r="X868">
            <v>3.6</v>
          </cell>
          <cell r="Y868">
            <v>152.35919999999999</v>
          </cell>
        </row>
        <row r="869">
          <cell r="A869" t="str">
            <v>6335-1</v>
          </cell>
          <cell r="B869">
            <v>42541</v>
          </cell>
          <cell r="C869" t="str">
            <v>2016</v>
          </cell>
          <cell r="D869" t="str">
            <v>Clay Ludtke</v>
          </cell>
          <cell r="E869" t="str">
            <v>7 Khartoum Rd,Macquarie Park</v>
          </cell>
          <cell r="F869" t="str">
            <v>Sydney</v>
          </cell>
          <cell r="G869" t="str">
            <v>NSW</v>
          </cell>
          <cell r="H869" t="str">
            <v>Consumer</v>
          </cell>
          <cell r="I869" t="str">
            <v>Preston Senome</v>
          </cell>
          <cell r="J869" t="str">
            <v>High</v>
          </cell>
          <cell r="K869" t="str">
            <v>DrawIt Colored Pencils, 48-Color Set</v>
          </cell>
          <cell r="L869" t="str">
            <v>Office Supplies</v>
          </cell>
          <cell r="M869" t="str">
            <v>Wrap Bag</v>
          </cell>
          <cell r="N869" t="str">
            <v>Regular Air</v>
          </cell>
          <cell r="O869">
            <v>42542</v>
          </cell>
          <cell r="P869">
            <v>21.56</v>
          </cell>
          <cell r="Q869">
            <v>36.549999999999997</v>
          </cell>
          <cell r="R869">
            <v>14.989999999999998</v>
          </cell>
          <cell r="S869">
            <v>34</v>
          </cell>
          <cell r="T869">
            <v>1242.6999999999998</v>
          </cell>
          <cell r="V869">
            <v>124.26999999999998</v>
          </cell>
          <cell r="W869">
            <v>1118.4299999999998</v>
          </cell>
          <cell r="X869">
            <v>13.89</v>
          </cell>
          <cell r="Y869">
            <v>1132.32</v>
          </cell>
        </row>
        <row r="870">
          <cell r="A870" t="str">
            <v>6336-1</v>
          </cell>
          <cell r="B870">
            <v>42541</v>
          </cell>
          <cell r="C870" t="str">
            <v>2016</v>
          </cell>
          <cell r="D870" t="str">
            <v>Harold Dahlen</v>
          </cell>
          <cell r="E870" t="str">
            <v>53-55 Liverpool St,Sydney</v>
          </cell>
          <cell r="F870" t="str">
            <v>Sydney</v>
          </cell>
          <cell r="G870" t="str">
            <v>NSW</v>
          </cell>
          <cell r="H870" t="str">
            <v>Consumer</v>
          </cell>
          <cell r="I870" t="str">
            <v>Tina Carlton</v>
          </cell>
          <cell r="J870" t="str">
            <v>Medium</v>
          </cell>
          <cell r="K870" t="str">
            <v>Pizazz Drawing Pencil Set</v>
          </cell>
          <cell r="L870" t="str">
            <v>Office Supplies</v>
          </cell>
          <cell r="M870" t="str">
            <v>Wrap Bag</v>
          </cell>
          <cell r="N870" t="str">
            <v>Express Air</v>
          </cell>
          <cell r="O870">
            <v>42541</v>
          </cell>
          <cell r="P870">
            <v>1.53</v>
          </cell>
          <cell r="Q870">
            <v>2.78</v>
          </cell>
          <cell r="R870">
            <v>1.2499999999999998</v>
          </cell>
          <cell r="S870">
            <v>47</v>
          </cell>
          <cell r="T870">
            <v>130.66</v>
          </cell>
          <cell r="V870">
            <v>13.066000000000001</v>
          </cell>
          <cell r="W870">
            <v>117.59399999999999</v>
          </cell>
          <cell r="X870">
            <v>1.34</v>
          </cell>
          <cell r="Y870">
            <v>118.934</v>
          </cell>
        </row>
        <row r="871">
          <cell r="A871" t="str">
            <v>6336-2</v>
          </cell>
          <cell r="B871">
            <v>42541</v>
          </cell>
          <cell r="C871" t="str">
            <v>2016</v>
          </cell>
          <cell r="D871" t="str">
            <v>Harold Dahlen</v>
          </cell>
          <cell r="E871" t="str">
            <v>53-55 Liverpool St,Sydney</v>
          </cell>
          <cell r="F871" t="str">
            <v>Sydney</v>
          </cell>
          <cell r="G871" t="str">
            <v>NSW</v>
          </cell>
          <cell r="H871" t="str">
            <v>Consumer</v>
          </cell>
          <cell r="I871" t="str">
            <v>Tina Carlton</v>
          </cell>
          <cell r="J871" t="str">
            <v>Medium</v>
          </cell>
          <cell r="K871" t="str">
            <v>Smiths Metal Binder Clips</v>
          </cell>
          <cell r="L871" t="str">
            <v>Office Supplies</v>
          </cell>
          <cell r="M871" t="str">
            <v>Wrap Bag</v>
          </cell>
          <cell r="N871" t="str">
            <v>Regular Air</v>
          </cell>
          <cell r="O871">
            <v>42544</v>
          </cell>
          <cell r="P871">
            <v>1.6</v>
          </cell>
          <cell r="Q871">
            <v>2.62</v>
          </cell>
          <cell r="R871">
            <v>1.02</v>
          </cell>
          <cell r="S871">
            <v>30</v>
          </cell>
          <cell r="T871">
            <v>78.600000000000009</v>
          </cell>
          <cell r="V871">
            <v>3.9300000000000006</v>
          </cell>
          <cell r="W871">
            <v>74.67</v>
          </cell>
          <cell r="X871">
            <v>0.8</v>
          </cell>
          <cell r="Y871">
            <v>75.47</v>
          </cell>
        </row>
        <row r="872">
          <cell r="A872" t="str">
            <v>6337-1</v>
          </cell>
          <cell r="B872">
            <v>42546</v>
          </cell>
          <cell r="C872" t="str">
            <v>2016</v>
          </cell>
          <cell r="D872" t="str">
            <v>Cindy Chapman</v>
          </cell>
          <cell r="E872" t="str">
            <v>101 Murray Street</v>
          </cell>
          <cell r="F872" t="str">
            <v>Perth</v>
          </cell>
          <cell r="G872" t="str">
            <v>WA</v>
          </cell>
          <cell r="H872" t="str">
            <v>Corporate</v>
          </cell>
          <cell r="I872" t="str">
            <v>Tina Carlton</v>
          </cell>
          <cell r="J872" t="str">
            <v>Not Specified</v>
          </cell>
          <cell r="K872" t="str">
            <v>Wirebound Voice Message Log Book</v>
          </cell>
          <cell r="L872" t="str">
            <v>Office Supplies</v>
          </cell>
          <cell r="M872" t="str">
            <v>Wrap Bag</v>
          </cell>
          <cell r="N872" t="str">
            <v>Regular Air</v>
          </cell>
          <cell r="O872">
            <v>42548</v>
          </cell>
          <cell r="P872">
            <v>2.9</v>
          </cell>
          <cell r="Q872">
            <v>4.76</v>
          </cell>
          <cell r="R872">
            <v>1.8599999999999999</v>
          </cell>
          <cell r="S872">
            <v>5</v>
          </cell>
          <cell r="T872">
            <v>23.799999999999997</v>
          </cell>
          <cell r="V872">
            <v>2.1419999999999995</v>
          </cell>
          <cell r="W872">
            <v>21.657999999999998</v>
          </cell>
          <cell r="X872">
            <v>0.88</v>
          </cell>
          <cell r="Y872">
            <v>22.537999999999997</v>
          </cell>
        </row>
        <row r="873">
          <cell r="A873" t="str">
            <v>6338-1</v>
          </cell>
          <cell r="B873">
            <v>42549</v>
          </cell>
          <cell r="C873" t="str">
            <v>2016</v>
          </cell>
          <cell r="D873" t="str">
            <v>Joseph Airdo</v>
          </cell>
          <cell r="E873" t="str">
            <v>Westfield Sydney,Sydney</v>
          </cell>
          <cell r="F873" t="str">
            <v>Sydney</v>
          </cell>
          <cell r="G873" t="str">
            <v>NSW</v>
          </cell>
          <cell r="H873" t="str">
            <v>Corporate</v>
          </cell>
          <cell r="I873" t="str">
            <v>Natasha Song</v>
          </cell>
          <cell r="J873" t="str">
            <v>Medium</v>
          </cell>
          <cell r="K873" t="str">
            <v>Artisan Durable Binders</v>
          </cell>
          <cell r="L873" t="str">
            <v>Office Supplies</v>
          </cell>
          <cell r="M873" t="str">
            <v>Small Box</v>
          </cell>
          <cell r="N873" t="str">
            <v>Regular Air</v>
          </cell>
          <cell r="O873">
            <v>42551</v>
          </cell>
          <cell r="P873">
            <v>1.84</v>
          </cell>
          <cell r="Q873">
            <v>2.88</v>
          </cell>
          <cell r="R873">
            <v>1.0399999999999998</v>
          </cell>
          <cell r="S873">
            <v>25</v>
          </cell>
          <cell r="T873">
            <v>72</v>
          </cell>
          <cell r="V873">
            <v>2.88</v>
          </cell>
          <cell r="W873">
            <v>69.12</v>
          </cell>
          <cell r="X873">
            <v>1.49</v>
          </cell>
          <cell r="Y873">
            <v>70.61</v>
          </cell>
        </row>
        <row r="874">
          <cell r="A874" t="str">
            <v>6339-1</v>
          </cell>
          <cell r="B874">
            <v>42550</v>
          </cell>
          <cell r="C874" t="str">
            <v>2016</v>
          </cell>
          <cell r="D874" t="str">
            <v>Cyma Kinney</v>
          </cell>
          <cell r="E874" t="str">
            <v>10 Lake Street</v>
          </cell>
          <cell r="F874" t="str">
            <v>Perth</v>
          </cell>
          <cell r="G874" t="str">
            <v>WA</v>
          </cell>
          <cell r="H874" t="str">
            <v>Small Business</v>
          </cell>
          <cell r="I874" t="str">
            <v>Phoebe Gour</v>
          </cell>
          <cell r="J874" t="str">
            <v>Low</v>
          </cell>
          <cell r="K874" t="str">
            <v>Alto Memo Cubes</v>
          </cell>
          <cell r="L874" t="str">
            <v>Office Supplies</v>
          </cell>
          <cell r="M874" t="str">
            <v>Wrap Bag</v>
          </cell>
          <cell r="N874" t="str">
            <v>Express Air</v>
          </cell>
          <cell r="O874">
            <v>42555</v>
          </cell>
          <cell r="P874">
            <v>3.32</v>
          </cell>
          <cell r="Q874">
            <v>5.18</v>
          </cell>
          <cell r="R874">
            <v>1.8599999999999999</v>
          </cell>
          <cell r="S874">
            <v>1</v>
          </cell>
          <cell r="T874">
            <v>5.18</v>
          </cell>
          <cell r="V874">
            <v>0.1036</v>
          </cell>
          <cell r="W874">
            <v>5.0763999999999996</v>
          </cell>
          <cell r="X874">
            <v>2.04</v>
          </cell>
          <cell r="Y874">
            <v>7.1163999999999996</v>
          </cell>
        </row>
        <row r="875">
          <cell r="A875" t="str">
            <v>6339-2</v>
          </cell>
          <cell r="B875">
            <v>42550</v>
          </cell>
          <cell r="C875" t="str">
            <v>2016</v>
          </cell>
          <cell r="D875" t="str">
            <v>Cyma Kinney</v>
          </cell>
          <cell r="E875" t="str">
            <v>10 Lake Street</v>
          </cell>
          <cell r="F875" t="str">
            <v>Perth</v>
          </cell>
          <cell r="G875" t="str">
            <v>WA</v>
          </cell>
          <cell r="H875" t="str">
            <v>Small Business</v>
          </cell>
          <cell r="I875" t="str">
            <v>Phoebe Gour</v>
          </cell>
          <cell r="J875" t="str">
            <v>Low</v>
          </cell>
          <cell r="K875" t="str">
            <v>Artisan Hi-Liter Smear-Safe Highlighters</v>
          </cell>
          <cell r="L875" t="str">
            <v>Office Supplies</v>
          </cell>
          <cell r="M875" t="str">
            <v>Wrap Bag</v>
          </cell>
          <cell r="N875" t="str">
            <v>Regular Air</v>
          </cell>
          <cell r="O875">
            <v>42554</v>
          </cell>
          <cell r="P875">
            <v>2.98</v>
          </cell>
          <cell r="Q875">
            <v>5.84</v>
          </cell>
          <cell r="R875">
            <v>2.86</v>
          </cell>
          <cell r="S875">
            <v>4</v>
          </cell>
          <cell r="T875">
            <v>23.36</v>
          </cell>
          <cell r="V875">
            <v>2.1023999999999998</v>
          </cell>
          <cell r="W875">
            <v>21.2576</v>
          </cell>
          <cell r="X875">
            <v>0.83</v>
          </cell>
          <cell r="Y875">
            <v>22.087599999999998</v>
          </cell>
        </row>
        <row r="876">
          <cell r="A876" t="str">
            <v>6340-1</v>
          </cell>
          <cell r="B876">
            <v>42550</v>
          </cell>
          <cell r="C876" t="str">
            <v>2016</v>
          </cell>
          <cell r="D876" t="str">
            <v>Brian DeCherney</v>
          </cell>
          <cell r="E876" t="str">
            <v>523 King St,Newtown</v>
          </cell>
          <cell r="F876" t="str">
            <v>Sydney</v>
          </cell>
          <cell r="G876" t="str">
            <v>NSW</v>
          </cell>
          <cell r="H876" t="str">
            <v>Corporate</v>
          </cell>
          <cell r="I876" t="str">
            <v>Aanya Zhang</v>
          </cell>
          <cell r="J876" t="str">
            <v>Critical</v>
          </cell>
          <cell r="K876" t="str">
            <v>Artisan 478 Labels</v>
          </cell>
          <cell r="L876" t="str">
            <v>Office Supplies</v>
          </cell>
          <cell r="M876" t="str">
            <v>Small Box</v>
          </cell>
          <cell r="N876" t="str">
            <v>Regular Air</v>
          </cell>
          <cell r="O876">
            <v>42552</v>
          </cell>
          <cell r="P876">
            <v>3.14</v>
          </cell>
          <cell r="Q876">
            <v>4.91</v>
          </cell>
          <cell r="R876">
            <v>1.77</v>
          </cell>
          <cell r="S876">
            <v>28</v>
          </cell>
          <cell r="T876">
            <v>137.48000000000002</v>
          </cell>
          <cell r="V876">
            <v>10.998400000000002</v>
          </cell>
          <cell r="W876">
            <v>126.48160000000001</v>
          </cell>
          <cell r="X876">
            <v>0.5</v>
          </cell>
          <cell r="Y876">
            <v>126.98160000000001</v>
          </cell>
        </row>
        <row r="877">
          <cell r="A877" t="str">
            <v>6342-1</v>
          </cell>
          <cell r="B877">
            <v>42551</v>
          </cell>
          <cell r="C877" t="str">
            <v>2016</v>
          </cell>
          <cell r="D877" t="str">
            <v>Matthew Clasen</v>
          </cell>
          <cell r="E877" t="str">
            <v>Macquarie Centre Cnr Herring Road &amp; Waterloo Road,Macquarie Park</v>
          </cell>
          <cell r="F877" t="str">
            <v>Sydney</v>
          </cell>
          <cell r="G877" t="str">
            <v>NSW</v>
          </cell>
          <cell r="H877" t="str">
            <v>Consumer</v>
          </cell>
          <cell r="I877" t="str">
            <v>Nicholas Fernandes</v>
          </cell>
          <cell r="J877" t="str">
            <v>Low</v>
          </cell>
          <cell r="K877" t="str">
            <v>Artisan Flip-Chart Easel Binder, Black</v>
          </cell>
          <cell r="L877" t="str">
            <v>Office Supplies</v>
          </cell>
          <cell r="M877" t="str">
            <v>Small Box</v>
          </cell>
          <cell r="N877" t="str">
            <v>Regular Air</v>
          </cell>
          <cell r="O877">
            <v>42553</v>
          </cell>
          <cell r="P877">
            <v>13.88</v>
          </cell>
          <cell r="Q877">
            <v>22.38</v>
          </cell>
          <cell r="R877">
            <v>8.4999999999999982</v>
          </cell>
          <cell r="S877">
            <v>9</v>
          </cell>
          <cell r="T877">
            <v>201.42</v>
          </cell>
          <cell r="V877">
            <v>6.0425999999999993</v>
          </cell>
          <cell r="W877">
            <v>195.37739999999999</v>
          </cell>
          <cell r="X877">
            <v>15.1</v>
          </cell>
          <cell r="Y877">
            <v>210.47739999999999</v>
          </cell>
        </row>
        <row r="878">
          <cell r="A878" t="str">
            <v>6343-1</v>
          </cell>
          <cell r="B878">
            <v>42551</v>
          </cell>
          <cell r="C878" t="str">
            <v>2016</v>
          </cell>
          <cell r="D878" t="str">
            <v>Lindsay Castell</v>
          </cell>
          <cell r="E878" t="str">
            <v>Qantas Domestic Terminal,Mascot</v>
          </cell>
          <cell r="F878" t="str">
            <v>Sydney</v>
          </cell>
          <cell r="G878" t="str">
            <v>NSW</v>
          </cell>
          <cell r="H878" t="str">
            <v>Corporate</v>
          </cell>
          <cell r="I878" t="str">
            <v>Phoebe Gour</v>
          </cell>
          <cell r="J878" t="str">
            <v>High</v>
          </cell>
          <cell r="K878" t="str">
            <v>Bagged Rubber Bands</v>
          </cell>
          <cell r="L878" t="str">
            <v>Office Supplies</v>
          </cell>
          <cell r="M878" t="str">
            <v>Wrap Bag</v>
          </cell>
          <cell r="N878" t="str">
            <v>Regular Air</v>
          </cell>
          <cell r="O878">
            <v>42552</v>
          </cell>
          <cell r="P878">
            <v>0.24</v>
          </cell>
          <cell r="Q878">
            <v>1.26</v>
          </cell>
          <cell r="R878">
            <v>1.02</v>
          </cell>
          <cell r="S878">
            <v>47</v>
          </cell>
          <cell r="T878">
            <v>59.22</v>
          </cell>
          <cell r="V878">
            <v>0</v>
          </cell>
          <cell r="W878">
            <v>59.22</v>
          </cell>
          <cell r="X878">
            <v>0.7</v>
          </cell>
          <cell r="Y878">
            <v>59.92</v>
          </cell>
        </row>
        <row r="879">
          <cell r="A879" t="str">
            <v>6345-1</v>
          </cell>
          <cell r="B879">
            <v>42553</v>
          </cell>
          <cell r="C879" t="str">
            <v>2016</v>
          </cell>
          <cell r="D879" t="str">
            <v>Susan Pistek</v>
          </cell>
          <cell r="E879" t="str">
            <v>2a/285A Crown St,Surry Hills</v>
          </cell>
          <cell r="F879" t="str">
            <v>Sydney</v>
          </cell>
          <cell r="G879" t="str">
            <v>NSW</v>
          </cell>
          <cell r="H879" t="str">
            <v>Home Office</v>
          </cell>
          <cell r="I879" t="str">
            <v>Phoebe Gour</v>
          </cell>
          <cell r="J879" t="str">
            <v>High</v>
          </cell>
          <cell r="K879" t="str">
            <v>Artisan 474 Labels</v>
          </cell>
          <cell r="L879" t="str">
            <v>Office Supplies</v>
          </cell>
          <cell r="M879" t="str">
            <v>Small Box</v>
          </cell>
          <cell r="N879" t="str">
            <v>Regular Air</v>
          </cell>
          <cell r="O879">
            <v>42555</v>
          </cell>
          <cell r="P879">
            <v>1.84</v>
          </cell>
          <cell r="Q879">
            <v>2.88</v>
          </cell>
          <cell r="R879">
            <v>1.0399999999999998</v>
          </cell>
          <cell r="S879">
            <v>18</v>
          </cell>
          <cell r="T879">
            <v>51.839999999999996</v>
          </cell>
          <cell r="V879">
            <v>1.5551999999999999</v>
          </cell>
          <cell r="W879">
            <v>50.284799999999997</v>
          </cell>
          <cell r="X879">
            <v>0.99</v>
          </cell>
          <cell r="Y879">
            <v>51.274799999999999</v>
          </cell>
        </row>
        <row r="880">
          <cell r="A880" t="str">
            <v>6346-1</v>
          </cell>
          <cell r="B880">
            <v>42553</v>
          </cell>
          <cell r="C880" t="str">
            <v>2016</v>
          </cell>
          <cell r="D880" t="str">
            <v>Astrea Jones</v>
          </cell>
          <cell r="E880" t="str">
            <v>14 Knebworth Avenue, Perth</v>
          </cell>
          <cell r="F880" t="str">
            <v>Sydney</v>
          </cell>
          <cell r="G880" t="str">
            <v>NSW</v>
          </cell>
          <cell r="H880" t="str">
            <v>Corporate</v>
          </cell>
          <cell r="I880" t="str">
            <v>Leighton Forrest</v>
          </cell>
          <cell r="J880" t="str">
            <v>Critical</v>
          </cell>
          <cell r="K880" t="str">
            <v>Smiths Metal Binder Clips</v>
          </cell>
          <cell r="L880" t="str">
            <v>Office Supplies</v>
          </cell>
          <cell r="M880" t="str">
            <v>Wrap Bag</v>
          </cell>
          <cell r="N880" t="str">
            <v>Regular Air</v>
          </cell>
          <cell r="O880">
            <v>42555</v>
          </cell>
          <cell r="P880">
            <v>1.6</v>
          </cell>
          <cell r="Q880">
            <v>2.62</v>
          </cell>
          <cell r="R880">
            <v>1.02</v>
          </cell>
          <cell r="S880">
            <v>16</v>
          </cell>
          <cell r="T880">
            <v>41.92</v>
          </cell>
          <cell r="V880">
            <v>3.7728000000000002</v>
          </cell>
          <cell r="W880">
            <v>38.147199999999998</v>
          </cell>
          <cell r="X880">
            <v>0.8</v>
          </cell>
          <cell r="Y880">
            <v>38.947199999999995</v>
          </cell>
        </row>
        <row r="881">
          <cell r="A881" t="str">
            <v>6347-1</v>
          </cell>
          <cell r="B881">
            <v>42553</v>
          </cell>
          <cell r="C881" t="str">
            <v>2016</v>
          </cell>
          <cell r="D881" t="str">
            <v>Randy Ferguson</v>
          </cell>
          <cell r="E881" t="str">
            <v>438 Victoria Avenue,Chatswood</v>
          </cell>
          <cell r="F881" t="str">
            <v>Sydney</v>
          </cell>
          <cell r="G881" t="str">
            <v>NSW</v>
          </cell>
          <cell r="H881" t="str">
            <v>Home Office</v>
          </cell>
          <cell r="I881" t="str">
            <v>Natasha Song</v>
          </cell>
          <cell r="J881" t="str">
            <v>Low</v>
          </cell>
          <cell r="K881" t="str">
            <v>Aluminum Document Frame</v>
          </cell>
          <cell r="L881" t="str">
            <v>Furniture</v>
          </cell>
          <cell r="M881" t="str">
            <v>Small Pack</v>
          </cell>
          <cell r="N881" t="str">
            <v>Regular Air</v>
          </cell>
          <cell r="O881">
            <v>42560</v>
          </cell>
          <cell r="P881">
            <v>5.5</v>
          </cell>
          <cell r="Q881">
            <v>12.22</v>
          </cell>
          <cell r="R881">
            <v>6.7200000000000006</v>
          </cell>
          <cell r="S881">
            <v>46</v>
          </cell>
          <cell r="T881">
            <v>562.12</v>
          </cell>
          <cell r="V881">
            <v>16.863599999999998</v>
          </cell>
          <cell r="W881">
            <v>545.25639999999999</v>
          </cell>
          <cell r="X881">
            <v>2.85</v>
          </cell>
          <cell r="Y881">
            <v>548.10640000000001</v>
          </cell>
        </row>
        <row r="882">
          <cell r="A882" t="str">
            <v>6348-1</v>
          </cell>
          <cell r="B882">
            <v>42554</v>
          </cell>
          <cell r="C882" t="str">
            <v>2016</v>
          </cell>
          <cell r="D882" t="str">
            <v>Philip Fox</v>
          </cell>
          <cell r="E882" t="str">
            <v>73 York St,Sydney</v>
          </cell>
          <cell r="F882" t="str">
            <v>Sydney</v>
          </cell>
          <cell r="G882" t="str">
            <v>NSW</v>
          </cell>
          <cell r="H882" t="str">
            <v>Home Office</v>
          </cell>
          <cell r="I882" t="str">
            <v>Tina Carlton</v>
          </cell>
          <cell r="J882" t="str">
            <v>Medium</v>
          </cell>
          <cell r="K882" t="str">
            <v>Assorted Color Push Pins</v>
          </cell>
          <cell r="L882" t="str">
            <v>Office Supplies</v>
          </cell>
          <cell r="M882" t="str">
            <v>Wrap Bag</v>
          </cell>
          <cell r="N882" t="str">
            <v>Regular Air</v>
          </cell>
          <cell r="O882">
            <v>42556</v>
          </cell>
          <cell r="P882">
            <v>0.87</v>
          </cell>
          <cell r="Q882">
            <v>1.81</v>
          </cell>
          <cell r="R882">
            <v>0.94000000000000006</v>
          </cell>
          <cell r="S882">
            <v>50</v>
          </cell>
          <cell r="T882">
            <v>90.5</v>
          </cell>
          <cell r="V882">
            <v>7.24</v>
          </cell>
          <cell r="W882">
            <v>83.26</v>
          </cell>
          <cell r="X882">
            <v>0.75</v>
          </cell>
          <cell r="Y882">
            <v>84.01</v>
          </cell>
        </row>
        <row r="883">
          <cell r="A883" t="str">
            <v>6349-1</v>
          </cell>
          <cell r="B883">
            <v>42556</v>
          </cell>
          <cell r="C883" t="str">
            <v>2016</v>
          </cell>
          <cell r="D883" t="str">
            <v>Denise Monton</v>
          </cell>
          <cell r="E883" t="str">
            <v>2/797 Botany Rd,Rosebery</v>
          </cell>
          <cell r="F883" t="str">
            <v>Sydney</v>
          </cell>
          <cell r="G883" t="str">
            <v>NSW</v>
          </cell>
          <cell r="H883" t="str">
            <v>Home Office</v>
          </cell>
          <cell r="I883" t="str">
            <v>Samantha Chairs</v>
          </cell>
          <cell r="J883" t="str">
            <v>Not Specified</v>
          </cell>
          <cell r="K883" t="str">
            <v>Artisan Poly Binder Pockets</v>
          </cell>
          <cell r="L883" t="str">
            <v>Office Supplies</v>
          </cell>
          <cell r="M883" t="str">
            <v>Small Box</v>
          </cell>
          <cell r="N883" t="str">
            <v>Express Air</v>
          </cell>
          <cell r="O883">
            <v>42558</v>
          </cell>
          <cell r="P883">
            <v>2.2599999999999998</v>
          </cell>
          <cell r="Q883">
            <v>3.58</v>
          </cell>
          <cell r="R883">
            <v>1.3200000000000003</v>
          </cell>
          <cell r="S883">
            <v>36</v>
          </cell>
          <cell r="T883">
            <v>128.88</v>
          </cell>
          <cell r="V883">
            <v>5.1551999999999998</v>
          </cell>
          <cell r="W883">
            <v>123.7248</v>
          </cell>
          <cell r="X883">
            <v>5.47</v>
          </cell>
          <cell r="Y883">
            <v>129.19480000000001</v>
          </cell>
        </row>
        <row r="884">
          <cell r="A884" t="str">
            <v>6351-1</v>
          </cell>
          <cell r="B884">
            <v>42558</v>
          </cell>
          <cell r="C884" t="str">
            <v>2016</v>
          </cell>
          <cell r="D884" t="str">
            <v>Thea Hendricks</v>
          </cell>
          <cell r="E884" t="str">
            <v>412 Brunswick St,Fitzroy</v>
          </cell>
          <cell r="F884" t="str">
            <v>Melbourne</v>
          </cell>
          <cell r="G884" t="str">
            <v>VIC</v>
          </cell>
          <cell r="H884" t="str">
            <v>Home Office</v>
          </cell>
          <cell r="I884" t="str">
            <v>Connor Betts</v>
          </cell>
          <cell r="J884" t="str">
            <v>High</v>
          </cell>
          <cell r="K884" t="str">
            <v>Pizazz Dustless Chalk Sticks</v>
          </cell>
          <cell r="L884" t="str">
            <v>Office Supplies</v>
          </cell>
          <cell r="M884" t="str">
            <v>Wrap Bag</v>
          </cell>
          <cell r="N884" t="str">
            <v>Regular Air</v>
          </cell>
          <cell r="O884">
            <v>42559</v>
          </cell>
          <cell r="P884">
            <v>1.0900000000000001</v>
          </cell>
          <cell r="Q884">
            <v>1.68</v>
          </cell>
          <cell r="R884">
            <v>0.58999999999999986</v>
          </cell>
          <cell r="S884">
            <v>50</v>
          </cell>
          <cell r="T884">
            <v>84</v>
          </cell>
          <cell r="V884">
            <v>7.56</v>
          </cell>
          <cell r="W884">
            <v>76.44</v>
          </cell>
          <cell r="X884">
            <v>1</v>
          </cell>
          <cell r="Y884">
            <v>77.44</v>
          </cell>
        </row>
        <row r="885">
          <cell r="A885" t="str">
            <v>6352-1</v>
          </cell>
          <cell r="B885">
            <v>42562</v>
          </cell>
          <cell r="C885" t="str">
            <v>2016</v>
          </cell>
          <cell r="D885" t="str">
            <v>Katherine Murray</v>
          </cell>
          <cell r="E885" t="str">
            <v>18 Whistler St,Sydney</v>
          </cell>
          <cell r="F885" t="str">
            <v>Sydney</v>
          </cell>
          <cell r="G885" t="str">
            <v>NSW</v>
          </cell>
          <cell r="H885" t="str">
            <v>Home Office</v>
          </cell>
          <cell r="I885" t="str">
            <v>Nicholas Fernandes</v>
          </cell>
          <cell r="J885" t="str">
            <v>Medium</v>
          </cell>
          <cell r="K885" t="str">
            <v>Wirebound Message Book, 4 per Page</v>
          </cell>
          <cell r="L885" t="str">
            <v>Office Supplies</v>
          </cell>
          <cell r="M885" t="str">
            <v>Wrap Bag</v>
          </cell>
          <cell r="N885" t="str">
            <v>Regular Air</v>
          </cell>
          <cell r="O885">
            <v>42563</v>
          </cell>
          <cell r="P885">
            <v>3.48</v>
          </cell>
          <cell r="Q885">
            <v>5.43</v>
          </cell>
          <cell r="R885">
            <v>1.9499999999999997</v>
          </cell>
          <cell r="S885">
            <v>2</v>
          </cell>
          <cell r="T885">
            <v>10.86</v>
          </cell>
          <cell r="V885">
            <v>0.32579999999999998</v>
          </cell>
          <cell r="W885">
            <v>10.5342</v>
          </cell>
          <cell r="X885">
            <v>0.95</v>
          </cell>
          <cell r="Y885">
            <v>11.4842</v>
          </cell>
        </row>
        <row r="886">
          <cell r="A886" t="str">
            <v>6353-1</v>
          </cell>
          <cell r="B886">
            <v>42563</v>
          </cell>
          <cell r="C886" t="str">
            <v>2016</v>
          </cell>
          <cell r="D886" t="str">
            <v>Debra Catini</v>
          </cell>
          <cell r="E886" t="str">
            <v>506 Swan Street,Richmond</v>
          </cell>
          <cell r="F886" t="str">
            <v>Melbourne</v>
          </cell>
          <cell r="G886" t="str">
            <v>VIC</v>
          </cell>
          <cell r="H886" t="str">
            <v>Small Business</v>
          </cell>
          <cell r="I886" t="str">
            <v>Connor Betts</v>
          </cell>
          <cell r="J886" t="str">
            <v>Medium</v>
          </cell>
          <cell r="K886" t="str">
            <v>Artisan Hanging File Binders</v>
          </cell>
          <cell r="L886" t="str">
            <v>Office Supplies</v>
          </cell>
          <cell r="M886" t="str">
            <v>Small Box</v>
          </cell>
          <cell r="N886" t="str">
            <v>Regular Air</v>
          </cell>
          <cell r="O886">
            <v>42564</v>
          </cell>
          <cell r="P886">
            <v>3.65</v>
          </cell>
          <cell r="Q886">
            <v>5.98</v>
          </cell>
          <cell r="R886">
            <v>2.3300000000000005</v>
          </cell>
          <cell r="S886">
            <v>22</v>
          </cell>
          <cell r="T886">
            <v>131.56</v>
          </cell>
          <cell r="V886">
            <v>9.2092000000000009</v>
          </cell>
          <cell r="W886">
            <v>122.35080000000001</v>
          </cell>
          <cell r="X886">
            <v>1.49</v>
          </cell>
          <cell r="Y886">
            <v>123.8408</v>
          </cell>
        </row>
        <row r="887">
          <cell r="A887" t="str">
            <v>6354-1</v>
          </cell>
          <cell r="B887">
            <v>42567</v>
          </cell>
          <cell r="C887" t="str">
            <v>2016</v>
          </cell>
          <cell r="D887" t="str">
            <v>Maribeth Dona</v>
          </cell>
          <cell r="E887" t="str">
            <v>8 Rankins Lane ,Melbourne</v>
          </cell>
          <cell r="F887" t="str">
            <v>Melbourne</v>
          </cell>
          <cell r="G887" t="str">
            <v>VIC</v>
          </cell>
          <cell r="H887" t="str">
            <v>Home Office</v>
          </cell>
          <cell r="I887" t="str">
            <v>Connor Betts</v>
          </cell>
          <cell r="J887" t="str">
            <v>High</v>
          </cell>
          <cell r="K887" t="str">
            <v>Adesso Programmable 142-Key Keyboard</v>
          </cell>
          <cell r="L887" t="str">
            <v>Technology</v>
          </cell>
          <cell r="M887" t="str">
            <v>Small Box</v>
          </cell>
          <cell r="N887" t="str">
            <v>Regular Air</v>
          </cell>
          <cell r="O887">
            <v>42569</v>
          </cell>
          <cell r="P887">
            <v>32.020000000000003</v>
          </cell>
          <cell r="Q887">
            <v>152.47999999999999</v>
          </cell>
          <cell r="R887">
            <v>120.45999999999998</v>
          </cell>
          <cell r="S887">
            <v>2</v>
          </cell>
          <cell r="T887">
            <v>304.95999999999998</v>
          </cell>
          <cell r="V887">
            <v>9.1487999999999996</v>
          </cell>
          <cell r="W887">
            <v>295.81119999999999</v>
          </cell>
          <cell r="X887">
            <v>4</v>
          </cell>
          <cell r="Y887">
            <v>299.81119999999999</v>
          </cell>
        </row>
        <row r="888">
          <cell r="A888" t="str">
            <v>6355-1</v>
          </cell>
          <cell r="B888">
            <v>42568</v>
          </cell>
          <cell r="C888" t="str">
            <v>2016</v>
          </cell>
          <cell r="D888" t="str">
            <v>Kean Thornton</v>
          </cell>
          <cell r="E888" t="str">
            <v>65 Palmerston Street</v>
          </cell>
          <cell r="F888" t="str">
            <v>Perth</v>
          </cell>
          <cell r="G888" t="str">
            <v>WA</v>
          </cell>
          <cell r="H888" t="str">
            <v>Corporate</v>
          </cell>
          <cell r="I888" t="str">
            <v>Natasha Song</v>
          </cell>
          <cell r="J888" t="str">
            <v>Not Specified</v>
          </cell>
          <cell r="K888" t="str">
            <v>Steady Pocket Accent Highlighters</v>
          </cell>
          <cell r="L888" t="str">
            <v>Office Supplies</v>
          </cell>
          <cell r="M888" t="str">
            <v>Wrap Bag</v>
          </cell>
          <cell r="N888" t="str">
            <v>Regular Air</v>
          </cell>
          <cell r="O888">
            <v>42569</v>
          </cell>
          <cell r="P888">
            <v>0.93</v>
          </cell>
          <cell r="Q888">
            <v>1.6</v>
          </cell>
          <cell r="R888">
            <v>0.67</v>
          </cell>
          <cell r="S888">
            <v>39</v>
          </cell>
          <cell r="T888">
            <v>62.400000000000006</v>
          </cell>
          <cell r="V888">
            <v>6.2400000000000011</v>
          </cell>
          <cell r="W888">
            <v>56.160000000000004</v>
          </cell>
          <cell r="X888">
            <v>1.29</v>
          </cell>
          <cell r="Y888">
            <v>57.45</v>
          </cell>
        </row>
        <row r="889">
          <cell r="A889" t="str">
            <v>6356-1</v>
          </cell>
          <cell r="B889">
            <v>42578</v>
          </cell>
          <cell r="C889" t="str">
            <v>2016</v>
          </cell>
          <cell r="D889" t="str">
            <v>Michelle Huthwaite</v>
          </cell>
          <cell r="E889" t="str">
            <v>155 Oxford Street,Darlinghurst</v>
          </cell>
          <cell r="F889" t="str">
            <v>Sydney</v>
          </cell>
          <cell r="G889" t="str">
            <v>NSW</v>
          </cell>
          <cell r="H889" t="str">
            <v>Home Office</v>
          </cell>
          <cell r="I889" t="str">
            <v>Samantha Chairs</v>
          </cell>
          <cell r="J889" t="str">
            <v>Critical</v>
          </cell>
          <cell r="K889" t="str">
            <v>HFX 610 Color Digital Copier / Printer</v>
          </cell>
          <cell r="L889" t="str">
            <v>Technology</v>
          </cell>
          <cell r="M889" t="str">
            <v>Large Box</v>
          </cell>
          <cell r="N889" t="str">
            <v>Regular Air</v>
          </cell>
          <cell r="O889">
            <v>42580</v>
          </cell>
          <cell r="P889">
            <v>269.99</v>
          </cell>
          <cell r="Q889">
            <v>449.99</v>
          </cell>
          <cell r="R889">
            <v>180</v>
          </cell>
          <cell r="S889">
            <v>3</v>
          </cell>
          <cell r="T889">
            <v>1349.97</v>
          </cell>
          <cell r="V889">
            <v>80.998199999999997</v>
          </cell>
          <cell r="W889">
            <v>1268.9718</v>
          </cell>
          <cell r="X889">
            <v>24.49</v>
          </cell>
          <cell r="Y889">
            <v>1293.4618</v>
          </cell>
        </row>
        <row r="890">
          <cell r="A890" t="str">
            <v>6358-1</v>
          </cell>
          <cell r="B890">
            <v>42579</v>
          </cell>
          <cell r="C890" t="str">
            <v>2016</v>
          </cell>
          <cell r="D890" t="str">
            <v>Nicole Brennan</v>
          </cell>
          <cell r="E890" t="str">
            <v>310 Wattle St,Ultimo</v>
          </cell>
          <cell r="F890" t="str">
            <v>Sydney</v>
          </cell>
          <cell r="G890" t="str">
            <v>NSW</v>
          </cell>
          <cell r="H890" t="str">
            <v>Home Office</v>
          </cell>
          <cell r="I890" t="str">
            <v>Aanya Zhang</v>
          </cell>
          <cell r="J890" t="str">
            <v>Medium</v>
          </cell>
          <cell r="K890" t="str">
            <v>Artisan Flip-Chart Easel Binder, Black</v>
          </cell>
          <cell r="L890" t="str">
            <v>Office Supplies</v>
          </cell>
          <cell r="M890" t="str">
            <v>Small Box</v>
          </cell>
          <cell r="N890" t="str">
            <v>Regular Air</v>
          </cell>
          <cell r="O890">
            <v>42581</v>
          </cell>
          <cell r="P890">
            <v>13.88</v>
          </cell>
          <cell r="Q890">
            <v>22.38</v>
          </cell>
          <cell r="R890">
            <v>8.4999999999999982</v>
          </cell>
          <cell r="S890">
            <v>18</v>
          </cell>
          <cell r="T890">
            <v>402.84</v>
          </cell>
          <cell r="V890">
            <v>20.141999999999999</v>
          </cell>
          <cell r="W890">
            <v>382.69799999999998</v>
          </cell>
          <cell r="X890">
            <v>15.1</v>
          </cell>
          <cell r="Y890">
            <v>397.798</v>
          </cell>
        </row>
        <row r="891">
          <cell r="A891" t="str">
            <v>6359-1</v>
          </cell>
          <cell r="B891">
            <v>42584</v>
          </cell>
          <cell r="C891" t="str">
            <v>2016</v>
          </cell>
          <cell r="D891" t="str">
            <v>Dean Percer</v>
          </cell>
          <cell r="E891" t="str">
            <v>222 Barkly St,St Kilda</v>
          </cell>
          <cell r="F891" t="str">
            <v>Melbourne</v>
          </cell>
          <cell r="G891" t="str">
            <v>VIC</v>
          </cell>
          <cell r="H891" t="str">
            <v>Home Office</v>
          </cell>
          <cell r="I891" t="str">
            <v>Yvette Biti</v>
          </cell>
          <cell r="J891" t="str">
            <v>Not Specified</v>
          </cell>
          <cell r="K891" t="str">
            <v>Deluxe Rollaway Locking File with Drawer</v>
          </cell>
          <cell r="L891" t="str">
            <v>Office Supplies</v>
          </cell>
          <cell r="M891" t="str">
            <v>Small Box</v>
          </cell>
          <cell r="N891" t="str">
            <v>Regular Air</v>
          </cell>
          <cell r="O891">
            <v>42586</v>
          </cell>
          <cell r="P891">
            <v>178.83</v>
          </cell>
          <cell r="Q891">
            <v>415.88</v>
          </cell>
          <cell r="R891">
            <v>237.04999999999998</v>
          </cell>
          <cell r="S891">
            <v>4</v>
          </cell>
          <cell r="T891">
            <v>1663.52</v>
          </cell>
          <cell r="V891">
            <v>66.540800000000004</v>
          </cell>
          <cell r="W891">
            <v>1596.9792</v>
          </cell>
          <cell r="X891">
            <v>11.37</v>
          </cell>
          <cell r="Y891">
            <v>1608.3491999999999</v>
          </cell>
        </row>
        <row r="892">
          <cell r="A892" t="str">
            <v>6361-1</v>
          </cell>
          <cell r="B892">
            <v>42585</v>
          </cell>
          <cell r="C892" t="str">
            <v>2016</v>
          </cell>
          <cell r="D892" t="str">
            <v>Michael Stewart</v>
          </cell>
          <cell r="E892" t="str">
            <v>523 King St,Newtown</v>
          </cell>
          <cell r="F892" t="str">
            <v>Sydney</v>
          </cell>
          <cell r="G892" t="str">
            <v>NSW</v>
          </cell>
          <cell r="H892" t="str">
            <v>Small Business</v>
          </cell>
          <cell r="I892" t="str">
            <v>Aanya Zhang</v>
          </cell>
          <cell r="J892" t="str">
            <v>Not Specified</v>
          </cell>
          <cell r="K892" t="str">
            <v>Smiths SlimLine Pencil Sharpener</v>
          </cell>
          <cell r="L892" t="str">
            <v>Office Supplies</v>
          </cell>
          <cell r="M892" t="str">
            <v>Small Pack</v>
          </cell>
          <cell r="N892" t="str">
            <v>Regular Air</v>
          </cell>
          <cell r="O892">
            <v>42586</v>
          </cell>
          <cell r="P892">
            <v>4.79</v>
          </cell>
          <cell r="Q892">
            <v>11.97</v>
          </cell>
          <cell r="R892">
            <v>7.1800000000000006</v>
          </cell>
          <cell r="S892">
            <v>49</v>
          </cell>
          <cell r="T892">
            <v>586.53000000000009</v>
          </cell>
          <cell r="V892">
            <v>52.787700000000008</v>
          </cell>
          <cell r="W892">
            <v>533.74230000000011</v>
          </cell>
          <cell r="X892">
            <v>5.81</v>
          </cell>
          <cell r="Y892">
            <v>539.55230000000006</v>
          </cell>
        </row>
        <row r="893">
          <cell r="A893" t="str">
            <v>6362-1</v>
          </cell>
          <cell r="B893">
            <v>42586</v>
          </cell>
          <cell r="C893" t="str">
            <v>2016</v>
          </cell>
          <cell r="D893" t="str">
            <v>Bruce Stewart</v>
          </cell>
          <cell r="E893" t="str">
            <v>Westfield Sydney,Sydney</v>
          </cell>
          <cell r="F893" t="str">
            <v>Sydney</v>
          </cell>
          <cell r="G893" t="str">
            <v>NSW</v>
          </cell>
          <cell r="H893" t="str">
            <v>Corporate</v>
          </cell>
          <cell r="I893" t="str">
            <v>Natasha Song</v>
          </cell>
          <cell r="J893" t="str">
            <v>High</v>
          </cell>
          <cell r="K893" t="str">
            <v>UGen Ultra Cordless Optical Suite</v>
          </cell>
          <cell r="L893" t="str">
            <v>Technology</v>
          </cell>
          <cell r="M893" t="str">
            <v>Small Box</v>
          </cell>
          <cell r="N893" t="str">
            <v>Regular Air</v>
          </cell>
          <cell r="O893">
            <v>42588</v>
          </cell>
          <cell r="P893">
            <v>54.52</v>
          </cell>
          <cell r="Q893">
            <v>100.97</v>
          </cell>
          <cell r="R893">
            <v>46.449999999999996</v>
          </cell>
          <cell r="S893">
            <v>41</v>
          </cell>
          <cell r="T893">
            <v>4139.7699999999995</v>
          </cell>
          <cell r="V893">
            <v>124.19309999999999</v>
          </cell>
          <cell r="W893">
            <v>4015.5768999999996</v>
          </cell>
          <cell r="X893">
            <v>7.18</v>
          </cell>
          <cell r="Y893">
            <v>4022.7568999999994</v>
          </cell>
        </row>
        <row r="894">
          <cell r="A894" t="str">
            <v>6364-1</v>
          </cell>
          <cell r="B894">
            <v>42587</v>
          </cell>
          <cell r="C894" t="str">
            <v>2016</v>
          </cell>
          <cell r="D894" t="str">
            <v>Beth Thompson</v>
          </cell>
          <cell r="E894" t="str">
            <v>101 Murray Street, Perth</v>
          </cell>
          <cell r="F894" t="str">
            <v>Sydney</v>
          </cell>
          <cell r="G894" t="str">
            <v>NSW</v>
          </cell>
          <cell r="H894" t="str">
            <v>Corporate</v>
          </cell>
          <cell r="I894" t="str">
            <v>Mihael Khan</v>
          </cell>
          <cell r="J894" t="str">
            <v>High</v>
          </cell>
          <cell r="K894" t="str">
            <v>Pizazz Drawing Pencil Set</v>
          </cell>
          <cell r="L894" t="str">
            <v>Office Supplies</v>
          </cell>
          <cell r="M894" t="str">
            <v>Wrap Bag</v>
          </cell>
          <cell r="N894" t="str">
            <v>Regular Air</v>
          </cell>
          <cell r="O894">
            <v>42588</v>
          </cell>
          <cell r="P894">
            <v>1.17</v>
          </cell>
          <cell r="Q894">
            <v>2.78</v>
          </cell>
          <cell r="R894">
            <v>1.6099999999999999</v>
          </cell>
          <cell r="S894">
            <v>6</v>
          </cell>
          <cell r="T894">
            <v>16.68</v>
          </cell>
          <cell r="V894">
            <v>0.1668</v>
          </cell>
          <cell r="W894">
            <v>16.513200000000001</v>
          </cell>
          <cell r="X894">
            <v>1.2</v>
          </cell>
          <cell r="Y894">
            <v>17.713200000000001</v>
          </cell>
        </row>
        <row r="895">
          <cell r="A895" t="str">
            <v>6365-1</v>
          </cell>
          <cell r="B895">
            <v>42589</v>
          </cell>
          <cell r="C895" t="str">
            <v>2016</v>
          </cell>
          <cell r="D895" t="str">
            <v>Maureen Gastineau</v>
          </cell>
          <cell r="E895" t="str">
            <v>10 O'Connell St,Sydney</v>
          </cell>
          <cell r="F895" t="str">
            <v>Sydney</v>
          </cell>
          <cell r="G895" t="str">
            <v>NSW</v>
          </cell>
          <cell r="H895" t="str">
            <v>Consumer</v>
          </cell>
          <cell r="I895" t="str">
            <v>Aanya Zhang</v>
          </cell>
          <cell r="J895" t="str">
            <v>Not Specified</v>
          </cell>
          <cell r="K895" t="str">
            <v>Airmail Envelopes</v>
          </cell>
          <cell r="L895" t="str">
            <v>Office Supplies</v>
          </cell>
          <cell r="M895" t="str">
            <v>Small Box</v>
          </cell>
          <cell r="N895" t="str">
            <v>Regular Air</v>
          </cell>
          <cell r="O895">
            <v>42590</v>
          </cell>
          <cell r="P895">
            <v>52.04</v>
          </cell>
          <cell r="Q895">
            <v>83.93</v>
          </cell>
          <cell r="R895">
            <v>31.890000000000008</v>
          </cell>
          <cell r="S895">
            <v>37</v>
          </cell>
          <cell r="T895">
            <v>3105.4100000000003</v>
          </cell>
          <cell r="V895">
            <v>93.162300000000002</v>
          </cell>
          <cell r="W895">
            <v>3012.2477000000003</v>
          </cell>
          <cell r="X895">
            <v>19.989999999999998</v>
          </cell>
          <cell r="Y895">
            <v>3032.2377000000001</v>
          </cell>
        </row>
        <row r="896">
          <cell r="A896" t="str">
            <v>6367-1</v>
          </cell>
          <cell r="B896">
            <v>42590</v>
          </cell>
          <cell r="C896" t="str">
            <v>2016</v>
          </cell>
          <cell r="D896" t="str">
            <v>Michelle Arnett</v>
          </cell>
          <cell r="E896" t="str">
            <v>1-2/299 Sussex St,Sydney</v>
          </cell>
          <cell r="F896" t="str">
            <v>Sydney</v>
          </cell>
          <cell r="G896" t="str">
            <v>NSW</v>
          </cell>
          <cell r="H896" t="str">
            <v>Home Office</v>
          </cell>
          <cell r="I896" t="str">
            <v>Aanya Zhang</v>
          </cell>
          <cell r="J896" t="str">
            <v>High</v>
          </cell>
          <cell r="K896" t="str">
            <v>Artisan Binder Labels</v>
          </cell>
          <cell r="L896" t="str">
            <v>Office Supplies</v>
          </cell>
          <cell r="M896" t="str">
            <v>Small Box</v>
          </cell>
          <cell r="N896" t="str">
            <v>Regular Air</v>
          </cell>
          <cell r="O896">
            <v>42591</v>
          </cell>
          <cell r="P896">
            <v>2.4500000000000002</v>
          </cell>
          <cell r="Q896">
            <v>3.89</v>
          </cell>
          <cell r="R896">
            <v>1.44</v>
          </cell>
          <cell r="S896">
            <v>18</v>
          </cell>
          <cell r="T896">
            <v>70.02</v>
          </cell>
          <cell r="V896">
            <v>2.8007999999999997</v>
          </cell>
          <cell r="W896">
            <v>67.219200000000001</v>
          </cell>
          <cell r="X896">
            <v>7.01</v>
          </cell>
          <cell r="Y896">
            <v>74.229200000000006</v>
          </cell>
        </row>
        <row r="897">
          <cell r="A897" t="str">
            <v>6369-1</v>
          </cell>
          <cell r="B897">
            <v>42593</v>
          </cell>
          <cell r="C897" t="str">
            <v>2016</v>
          </cell>
          <cell r="D897" t="str">
            <v>Dennis Bolton</v>
          </cell>
          <cell r="E897" t="str">
            <v>8 Quay Street,Haymarket</v>
          </cell>
          <cell r="F897" t="str">
            <v>Sydney</v>
          </cell>
          <cell r="G897" t="str">
            <v>NSW</v>
          </cell>
          <cell r="H897" t="str">
            <v>Consumer</v>
          </cell>
          <cell r="I897" t="str">
            <v>Leighton Forrest</v>
          </cell>
          <cell r="J897" t="str">
            <v>High</v>
          </cell>
          <cell r="K897" t="str">
            <v>Artisan 487 Labels</v>
          </cell>
          <cell r="L897" t="str">
            <v>Office Supplies</v>
          </cell>
          <cell r="M897" t="str">
            <v>Small Box</v>
          </cell>
          <cell r="N897" t="str">
            <v>Regular Air</v>
          </cell>
          <cell r="O897">
            <v>42595</v>
          </cell>
          <cell r="P897">
            <v>2.29</v>
          </cell>
          <cell r="Q897">
            <v>3.69</v>
          </cell>
          <cell r="R897">
            <v>1.4</v>
          </cell>
          <cell r="S897">
            <v>13</v>
          </cell>
          <cell r="T897">
            <v>47.97</v>
          </cell>
          <cell r="V897">
            <v>1.9188000000000001</v>
          </cell>
          <cell r="W897">
            <v>46.051200000000001</v>
          </cell>
          <cell r="X897">
            <v>0.5</v>
          </cell>
          <cell r="Y897">
            <v>46.551200000000001</v>
          </cell>
        </row>
        <row r="898">
          <cell r="A898" t="str">
            <v>6370-1</v>
          </cell>
          <cell r="B898">
            <v>42593</v>
          </cell>
          <cell r="C898" t="str">
            <v>2016</v>
          </cell>
          <cell r="D898" t="str">
            <v>Sung Shariari</v>
          </cell>
          <cell r="E898" t="str">
            <v>6/15 Cross Street,Double Bay</v>
          </cell>
          <cell r="F898" t="str">
            <v>Sydney</v>
          </cell>
          <cell r="G898" t="str">
            <v>NSW</v>
          </cell>
          <cell r="H898" t="str">
            <v>Corporate</v>
          </cell>
          <cell r="I898" t="str">
            <v>Leighton Forrest</v>
          </cell>
          <cell r="J898" t="str">
            <v>Medium</v>
          </cell>
          <cell r="K898" t="str">
            <v>Bagged Rubber Bands</v>
          </cell>
          <cell r="L898" t="str">
            <v>Office Supplies</v>
          </cell>
          <cell r="M898" t="str">
            <v>Wrap Bag</v>
          </cell>
          <cell r="N898" t="str">
            <v>Regular Air</v>
          </cell>
          <cell r="O898">
            <v>42595</v>
          </cell>
          <cell r="P898">
            <v>0.24</v>
          </cell>
          <cell r="Q898">
            <v>1.26</v>
          </cell>
          <cell r="R898">
            <v>1.02</v>
          </cell>
          <cell r="S898">
            <v>34</v>
          </cell>
          <cell r="T898">
            <v>42.84</v>
          </cell>
          <cell r="V898">
            <v>0</v>
          </cell>
          <cell r="W898">
            <v>42.84</v>
          </cell>
          <cell r="X898">
            <v>0.7</v>
          </cell>
          <cell r="Y898">
            <v>43.540000000000006</v>
          </cell>
        </row>
        <row r="899">
          <cell r="A899" t="str">
            <v>6371-1</v>
          </cell>
          <cell r="B899">
            <v>42597</v>
          </cell>
          <cell r="C899" t="str">
            <v>2016</v>
          </cell>
          <cell r="D899" t="str">
            <v>Dave Hallsten</v>
          </cell>
          <cell r="E899" t="str">
            <v>1 John St,Waterloo</v>
          </cell>
          <cell r="F899" t="str">
            <v>Sydney</v>
          </cell>
          <cell r="G899" t="str">
            <v>NSW</v>
          </cell>
          <cell r="H899" t="str">
            <v>Corporate</v>
          </cell>
          <cell r="I899" t="str">
            <v>Charlie Bui</v>
          </cell>
          <cell r="J899" t="str">
            <v>Low</v>
          </cell>
          <cell r="K899" t="str">
            <v>Artisan Binder Labels</v>
          </cell>
          <cell r="L899" t="str">
            <v>Office Supplies</v>
          </cell>
          <cell r="M899" t="str">
            <v>Small Box</v>
          </cell>
          <cell r="N899" t="str">
            <v>Express Air</v>
          </cell>
          <cell r="O899">
            <v>42602</v>
          </cell>
          <cell r="P899">
            <v>2.4500000000000002</v>
          </cell>
          <cell r="Q899">
            <v>3.89</v>
          </cell>
          <cell r="R899">
            <v>1.44</v>
          </cell>
          <cell r="S899">
            <v>30</v>
          </cell>
          <cell r="T899">
            <v>116.7</v>
          </cell>
          <cell r="V899">
            <v>10.503</v>
          </cell>
          <cell r="W899">
            <v>106.197</v>
          </cell>
          <cell r="X899">
            <v>7.01</v>
          </cell>
          <cell r="Y899">
            <v>113.20700000000001</v>
          </cell>
        </row>
        <row r="900">
          <cell r="A900" t="str">
            <v>6373-1</v>
          </cell>
          <cell r="B900">
            <v>42599</v>
          </cell>
          <cell r="C900" t="str">
            <v>2016</v>
          </cell>
          <cell r="D900" t="str">
            <v>Pete Armstrong</v>
          </cell>
          <cell r="E900" t="str">
            <v>506 Swan Street,Richmond</v>
          </cell>
          <cell r="F900" t="str">
            <v>Melbourne</v>
          </cell>
          <cell r="G900" t="str">
            <v>VIC</v>
          </cell>
          <cell r="H900" t="str">
            <v>Consumer</v>
          </cell>
          <cell r="I900" t="str">
            <v>Connor Betts</v>
          </cell>
          <cell r="J900" t="str">
            <v>High</v>
          </cell>
          <cell r="K900" t="str">
            <v>Wirebound Voice Message Log Book</v>
          </cell>
          <cell r="L900" t="str">
            <v>Office Supplies</v>
          </cell>
          <cell r="M900" t="str">
            <v>Wrap Bag</v>
          </cell>
          <cell r="N900" t="str">
            <v>Regular Air</v>
          </cell>
          <cell r="O900">
            <v>42600</v>
          </cell>
          <cell r="P900">
            <v>2.9</v>
          </cell>
          <cell r="Q900">
            <v>4.76</v>
          </cell>
          <cell r="R900">
            <v>1.8599999999999999</v>
          </cell>
          <cell r="S900">
            <v>1</v>
          </cell>
          <cell r="T900">
            <v>4.76</v>
          </cell>
          <cell r="V900">
            <v>9.5199999999999993E-2</v>
          </cell>
          <cell r="W900">
            <v>4.6647999999999996</v>
          </cell>
          <cell r="X900">
            <v>0.88</v>
          </cell>
          <cell r="Y900">
            <v>5.5447999999999995</v>
          </cell>
        </row>
        <row r="901">
          <cell r="A901" t="str">
            <v>6374-1</v>
          </cell>
          <cell r="B901">
            <v>42600</v>
          </cell>
          <cell r="C901" t="str">
            <v>2016</v>
          </cell>
          <cell r="D901" t="str">
            <v>Emily Grady</v>
          </cell>
          <cell r="E901" t="str">
            <v>14 Money Street</v>
          </cell>
          <cell r="F901" t="str">
            <v>Perth</v>
          </cell>
          <cell r="G901" t="str">
            <v>WA</v>
          </cell>
          <cell r="H901" t="str">
            <v>Home Office</v>
          </cell>
          <cell r="I901" t="str">
            <v>Phoebe Gour</v>
          </cell>
          <cell r="J901" t="str">
            <v>High</v>
          </cell>
          <cell r="K901" t="str">
            <v>Angle-D Binders with Locking Rings, Label Holders</v>
          </cell>
          <cell r="L901" t="str">
            <v>Office Supplies</v>
          </cell>
          <cell r="M901" t="str">
            <v>Small Box</v>
          </cell>
          <cell r="N901" t="str">
            <v>Express Air</v>
          </cell>
          <cell r="O901">
            <v>42602</v>
          </cell>
          <cell r="P901">
            <v>4.53</v>
          </cell>
          <cell r="Q901">
            <v>7.3</v>
          </cell>
          <cell r="R901">
            <v>2.7699999999999996</v>
          </cell>
          <cell r="S901">
            <v>41</v>
          </cell>
          <cell r="T901">
            <v>299.3</v>
          </cell>
          <cell r="V901">
            <v>14.965000000000002</v>
          </cell>
          <cell r="W901">
            <v>284.33500000000004</v>
          </cell>
          <cell r="X901">
            <v>7.72</v>
          </cell>
          <cell r="Y901">
            <v>292.05500000000006</v>
          </cell>
        </row>
        <row r="902">
          <cell r="A902" t="str">
            <v>6376-1</v>
          </cell>
          <cell r="B902">
            <v>42600</v>
          </cell>
          <cell r="C902" t="str">
            <v>2016</v>
          </cell>
          <cell r="D902" t="str">
            <v>Vivek Grady</v>
          </cell>
          <cell r="E902" t="str">
            <v>99 Lygon Street,East Brunswick</v>
          </cell>
          <cell r="F902" t="str">
            <v>Melbourne</v>
          </cell>
          <cell r="G902" t="str">
            <v>VIC</v>
          </cell>
          <cell r="H902" t="str">
            <v>Home Office</v>
          </cell>
          <cell r="I902" t="str">
            <v>Connor Betts</v>
          </cell>
          <cell r="J902" t="str">
            <v>Low</v>
          </cell>
          <cell r="K902" t="str">
            <v>Colored Envelopes</v>
          </cell>
          <cell r="L902" t="str">
            <v>Office Supplies</v>
          </cell>
          <cell r="M902" t="str">
            <v>Small Box</v>
          </cell>
          <cell r="N902" t="str">
            <v>Regular Air</v>
          </cell>
          <cell r="O902">
            <v>42604</v>
          </cell>
          <cell r="P902">
            <v>2.25</v>
          </cell>
          <cell r="Q902">
            <v>3.69</v>
          </cell>
          <cell r="R902">
            <v>1.44</v>
          </cell>
          <cell r="S902">
            <v>16</v>
          </cell>
          <cell r="T902">
            <v>59.04</v>
          </cell>
          <cell r="V902">
            <v>1.1808000000000001</v>
          </cell>
          <cell r="W902">
            <v>57.859200000000001</v>
          </cell>
          <cell r="X902">
            <v>2.5</v>
          </cell>
          <cell r="Y902">
            <v>60.359200000000001</v>
          </cell>
        </row>
        <row r="903">
          <cell r="A903" t="str">
            <v>6377-1</v>
          </cell>
          <cell r="B903">
            <v>42602</v>
          </cell>
          <cell r="C903" t="str">
            <v>2016</v>
          </cell>
          <cell r="D903" t="str">
            <v>Ed Ludwig</v>
          </cell>
          <cell r="E903" t="str">
            <v>221 Barkly St,St Kilda</v>
          </cell>
          <cell r="F903" t="str">
            <v>Melbourne</v>
          </cell>
          <cell r="G903" t="str">
            <v>VIC</v>
          </cell>
          <cell r="H903" t="str">
            <v>Consumer</v>
          </cell>
          <cell r="I903" t="str">
            <v>Yvette Biti</v>
          </cell>
          <cell r="J903" t="str">
            <v>Low</v>
          </cell>
          <cell r="K903" t="str">
            <v>Smiths Bulldog Clip</v>
          </cell>
          <cell r="L903" t="str">
            <v>Office Supplies</v>
          </cell>
          <cell r="M903" t="str">
            <v>Wrap Bag</v>
          </cell>
          <cell r="N903" t="str">
            <v>Regular Air</v>
          </cell>
          <cell r="O903">
            <v>42607</v>
          </cell>
          <cell r="P903">
            <v>2.31</v>
          </cell>
          <cell r="Q903">
            <v>3.78</v>
          </cell>
          <cell r="R903">
            <v>1.4699999999999998</v>
          </cell>
          <cell r="S903">
            <v>28</v>
          </cell>
          <cell r="T903">
            <v>105.83999999999999</v>
          </cell>
          <cell r="V903">
            <v>6.3503999999999987</v>
          </cell>
          <cell r="W903">
            <v>99.489599999999996</v>
          </cell>
          <cell r="X903">
            <v>0.71</v>
          </cell>
          <cell r="Y903">
            <v>100.19959999999999</v>
          </cell>
        </row>
        <row r="904">
          <cell r="A904" t="str">
            <v>6379-1</v>
          </cell>
          <cell r="B904">
            <v>42605</v>
          </cell>
          <cell r="C904" t="str">
            <v>2016</v>
          </cell>
          <cell r="D904" t="str">
            <v>Maria Zettner</v>
          </cell>
          <cell r="E904" t="str">
            <v>531 King St,Newtown</v>
          </cell>
          <cell r="F904" t="str">
            <v>Sydney</v>
          </cell>
          <cell r="G904" t="str">
            <v>NSW</v>
          </cell>
          <cell r="H904" t="str">
            <v>Corporate</v>
          </cell>
          <cell r="I904" t="str">
            <v>Mihael Khan</v>
          </cell>
          <cell r="J904" t="str">
            <v>Not Specified</v>
          </cell>
          <cell r="K904" t="str">
            <v>PastelOcean Color Pencil Set</v>
          </cell>
          <cell r="L904" t="str">
            <v>Office Supplies</v>
          </cell>
          <cell r="M904" t="str">
            <v>Wrap Bag</v>
          </cell>
          <cell r="N904" t="str">
            <v>Regular Air</v>
          </cell>
          <cell r="O904">
            <v>42607</v>
          </cell>
          <cell r="P904">
            <v>11.11</v>
          </cell>
          <cell r="Q904">
            <v>19.84</v>
          </cell>
          <cell r="R904">
            <v>8.73</v>
          </cell>
          <cell r="S904">
            <v>22</v>
          </cell>
          <cell r="T904">
            <v>436.48</v>
          </cell>
          <cell r="V904">
            <v>26.188800000000001</v>
          </cell>
          <cell r="W904">
            <v>410.2912</v>
          </cell>
          <cell r="X904">
            <v>4.0999999999999996</v>
          </cell>
          <cell r="Y904">
            <v>414.39120000000003</v>
          </cell>
        </row>
        <row r="905">
          <cell r="A905" t="str">
            <v>6380-1</v>
          </cell>
          <cell r="B905">
            <v>42606</v>
          </cell>
          <cell r="C905" t="str">
            <v>2016</v>
          </cell>
          <cell r="D905" t="str">
            <v>Lindsay Shagiari</v>
          </cell>
          <cell r="E905" t="str">
            <v>5/250 Old Northern Road ,Castle Hill</v>
          </cell>
          <cell r="F905" t="str">
            <v>Sydney</v>
          </cell>
          <cell r="G905" t="str">
            <v>NSW</v>
          </cell>
          <cell r="H905" t="str">
            <v>Home Office</v>
          </cell>
          <cell r="I905" t="str">
            <v>Nicholas Fernandes</v>
          </cell>
          <cell r="J905" t="str">
            <v>Low</v>
          </cell>
          <cell r="K905" t="str">
            <v>600 Series Non-Flip</v>
          </cell>
          <cell r="L905" t="str">
            <v>Technology</v>
          </cell>
          <cell r="M905" t="str">
            <v>Small Box</v>
          </cell>
          <cell r="N905" t="str">
            <v>Regular Air</v>
          </cell>
          <cell r="O905">
            <v>42606</v>
          </cell>
          <cell r="P905">
            <v>19.78</v>
          </cell>
          <cell r="Q905">
            <v>45.99</v>
          </cell>
          <cell r="R905">
            <v>26.21</v>
          </cell>
          <cell r="S905">
            <v>46</v>
          </cell>
          <cell r="T905">
            <v>2115.54</v>
          </cell>
          <cell r="V905">
            <v>211.554</v>
          </cell>
          <cell r="W905">
            <v>1903.9859999999999</v>
          </cell>
          <cell r="X905">
            <v>4.99</v>
          </cell>
          <cell r="Y905">
            <v>1908.9759999999999</v>
          </cell>
        </row>
        <row r="906">
          <cell r="A906" t="str">
            <v>6382-1</v>
          </cell>
          <cell r="B906">
            <v>42606</v>
          </cell>
          <cell r="C906" t="str">
            <v>2016</v>
          </cell>
          <cell r="D906" t="str">
            <v>Henry Goldwyn</v>
          </cell>
          <cell r="E906" t="str">
            <v>541 Church St,Richmond</v>
          </cell>
          <cell r="F906" t="str">
            <v>Melbourne</v>
          </cell>
          <cell r="G906" t="str">
            <v>VIC</v>
          </cell>
          <cell r="H906" t="str">
            <v>Small Business</v>
          </cell>
          <cell r="I906" t="str">
            <v>Yvette Biti</v>
          </cell>
          <cell r="J906" t="str">
            <v>Not Specified</v>
          </cell>
          <cell r="K906" t="str">
            <v>Artisan 479 Labels</v>
          </cell>
          <cell r="L906" t="str">
            <v>Office Supplies</v>
          </cell>
          <cell r="M906" t="str">
            <v>Small Box</v>
          </cell>
          <cell r="N906" t="str">
            <v>Regular Air</v>
          </cell>
          <cell r="O906">
            <v>42609</v>
          </cell>
          <cell r="P906">
            <v>1.59</v>
          </cell>
          <cell r="Q906">
            <v>2.61</v>
          </cell>
          <cell r="R906">
            <v>1.0199999999999998</v>
          </cell>
          <cell r="S906">
            <v>34</v>
          </cell>
          <cell r="T906">
            <v>88.74</v>
          </cell>
          <cell r="V906">
            <v>0</v>
          </cell>
          <cell r="W906">
            <v>88.74</v>
          </cell>
          <cell r="X906">
            <v>0.5</v>
          </cell>
          <cell r="Y906">
            <v>89.24</v>
          </cell>
        </row>
        <row r="907">
          <cell r="A907" t="str">
            <v>6384-1</v>
          </cell>
          <cell r="B907">
            <v>42606</v>
          </cell>
          <cell r="C907" t="str">
            <v>2016</v>
          </cell>
          <cell r="D907" t="str">
            <v>Jasper Cacioppo</v>
          </cell>
          <cell r="E907" t="str">
            <v>14 Knebworth Avenue</v>
          </cell>
          <cell r="F907" t="str">
            <v>Perth</v>
          </cell>
          <cell r="G907" t="str">
            <v>WA</v>
          </cell>
          <cell r="H907" t="str">
            <v>Home Office</v>
          </cell>
          <cell r="I907" t="str">
            <v>Radhya Staples</v>
          </cell>
          <cell r="J907" t="str">
            <v>Low</v>
          </cell>
          <cell r="K907" t="str">
            <v>HFX LaserJet 3310 Copier</v>
          </cell>
          <cell r="L907" t="str">
            <v>Technology</v>
          </cell>
          <cell r="M907" t="str">
            <v>Large Box</v>
          </cell>
          <cell r="N907" t="str">
            <v>Regular Air</v>
          </cell>
          <cell r="O907">
            <v>42615</v>
          </cell>
          <cell r="P907">
            <v>377.99</v>
          </cell>
          <cell r="Q907">
            <v>599.99</v>
          </cell>
          <cell r="R907">
            <v>222</v>
          </cell>
          <cell r="S907">
            <v>16</v>
          </cell>
          <cell r="T907">
            <v>9599.84</v>
          </cell>
          <cell r="V907">
            <v>0</v>
          </cell>
          <cell r="W907">
            <v>9599.84</v>
          </cell>
          <cell r="X907">
            <v>24.49</v>
          </cell>
          <cell r="Y907">
            <v>9624.33</v>
          </cell>
        </row>
        <row r="908">
          <cell r="A908" t="str">
            <v>6384-2</v>
          </cell>
          <cell r="B908">
            <v>42606</v>
          </cell>
          <cell r="C908" t="str">
            <v>2016</v>
          </cell>
          <cell r="D908" t="str">
            <v>Jasper Cacioppo</v>
          </cell>
          <cell r="E908" t="str">
            <v>14 Knebworth Avenue</v>
          </cell>
          <cell r="F908" t="str">
            <v>Perth</v>
          </cell>
          <cell r="G908" t="str">
            <v>WA</v>
          </cell>
          <cell r="H908" t="str">
            <v>Home Office</v>
          </cell>
          <cell r="I908" t="str">
            <v>Radhya Staples</v>
          </cell>
          <cell r="J908" t="str">
            <v>Low</v>
          </cell>
          <cell r="K908" t="str">
            <v>PastelOcean Color Pencil Set</v>
          </cell>
          <cell r="L908" t="str">
            <v>Office Supplies</v>
          </cell>
          <cell r="M908" t="str">
            <v>Wrap Bag</v>
          </cell>
          <cell r="N908" t="str">
            <v>Regular Air</v>
          </cell>
          <cell r="O908">
            <v>42615</v>
          </cell>
          <cell r="P908">
            <v>11.11</v>
          </cell>
          <cell r="Q908">
            <v>19.84</v>
          </cell>
          <cell r="R908">
            <v>8.73</v>
          </cell>
          <cell r="S908">
            <v>39</v>
          </cell>
          <cell r="T908">
            <v>773.76</v>
          </cell>
          <cell r="V908">
            <v>7.7376000000000005</v>
          </cell>
          <cell r="W908">
            <v>766.02239999999995</v>
          </cell>
          <cell r="X908">
            <v>4.0999999999999996</v>
          </cell>
          <cell r="Y908">
            <v>770.12239999999997</v>
          </cell>
        </row>
        <row r="909">
          <cell r="A909" t="str">
            <v>6387-1</v>
          </cell>
          <cell r="B909">
            <v>42606</v>
          </cell>
          <cell r="C909" t="str">
            <v>2016</v>
          </cell>
          <cell r="D909" t="str">
            <v>Quincy Jones</v>
          </cell>
          <cell r="E909" t="str">
            <v>Shop 3/144 Waterloo Road,Greenacre</v>
          </cell>
          <cell r="F909" t="str">
            <v>Sydney</v>
          </cell>
          <cell r="G909" t="str">
            <v>NSW</v>
          </cell>
          <cell r="H909" t="str">
            <v>Small Business</v>
          </cell>
          <cell r="I909" t="str">
            <v>Samantha Chairs</v>
          </cell>
          <cell r="J909" t="str">
            <v>Medium</v>
          </cell>
          <cell r="K909" t="str">
            <v>Pizazz Drawing Pencil Set</v>
          </cell>
          <cell r="L909" t="str">
            <v>Office Supplies</v>
          </cell>
          <cell r="M909" t="str">
            <v>Wrap Bag</v>
          </cell>
          <cell r="N909" t="str">
            <v>Regular Air</v>
          </cell>
          <cell r="O909">
            <v>42606</v>
          </cell>
          <cell r="P909">
            <v>1.53</v>
          </cell>
          <cell r="Q909">
            <v>2.78</v>
          </cell>
          <cell r="R909">
            <v>1.2499999999999998</v>
          </cell>
          <cell r="S909">
            <v>23</v>
          </cell>
          <cell r="T909">
            <v>63.94</v>
          </cell>
          <cell r="V909">
            <v>0.63939999999999997</v>
          </cell>
          <cell r="W909">
            <v>63.300599999999996</v>
          </cell>
          <cell r="X909">
            <v>1.34</v>
          </cell>
          <cell r="Y909">
            <v>64.640599999999992</v>
          </cell>
        </row>
        <row r="910">
          <cell r="A910" t="str">
            <v>6388-1</v>
          </cell>
          <cell r="B910">
            <v>42606</v>
          </cell>
          <cell r="C910" t="str">
            <v>2016</v>
          </cell>
          <cell r="D910" t="str">
            <v>Kelly Williams</v>
          </cell>
          <cell r="E910" t="str">
            <v>499-501 Lygon Street,Carlton North</v>
          </cell>
          <cell r="F910" t="str">
            <v>Melbourne</v>
          </cell>
          <cell r="G910" t="str">
            <v>VIC</v>
          </cell>
          <cell r="H910" t="str">
            <v>Corporate</v>
          </cell>
          <cell r="I910" t="str">
            <v>Yvette Biti</v>
          </cell>
          <cell r="J910" t="str">
            <v>Medium</v>
          </cell>
          <cell r="K910" t="str">
            <v>TypeRight  Top-Opening Peel &amp; Seel Envelopes, Plain White</v>
          </cell>
          <cell r="L910" t="str">
            <v>Office Supplies</v>
          </cell>
          <cell r="M910" t="str">
            <v>Small Box</v>
          </cell>
          <cell r="N910" t="str">
            <v>Regular Air</v>
          </cell>
          <cell r="O910">
            <v>42607</v>
          </cell>
          <cell r="P910">
            <v>16.850000000000001</v>
          </cell>
          <cell r="Q910">
            <v>27.18</v>
          </cell>
          <cell r="R910">
            <v>10.329999999999998</v>
          </cell>
          <cell r="S910">
            <v>50</v>
          </cell>
          <cell r="T910">
            <v>1359</v>
          </cell>
          <cell r="V910">
            <v>27.18</v>
          </cell>
          <cell r="W910">
            <v>1331.82</v>
          </cell>
          <cell r="X910">
            <v>8.23</v>
          </cell>
          <cell r="Y910">
            <v>1340.05</v>
          </cell>
        </row>
        <row r="911">
          <cell r="A911" t="str">
            <v>6389-1</v>
          </cell>
          <cell r="B911">
            <v>42609</v>
          </cell>
          <cell r="C911" t="str">
            <v>2016</v>
          </cell>
          <cell r="D911" t="str">
            <v>Lycoris Saunders</v>
          </cell>
          <cell r="E911" t="str">
            <v>501 George St,Sydney</v>
          </cell>
          <cell r="F911" t="str">
            <v>Sydney</v>
          </cell>
          <cell r="G911" t="str">
            <v>NSW</v>
          </cell>
          <cell r="H911" t="str">
            <v>Corporate</v>
          </cell>
          <cell r="I911" t="str">
            <v>Samantha Chairs</v>
          </cell>
          <cell r="J911" t="str">
            <v>High</v>
          </cell>
          <cell r="K911" t="str">
            <v>Apex Straight Scissors</v>
          </cell>
          <cell r="L911" t="str">
            <v>Office Supplies</v>
          </cell>
          <cell r="M911" t="str">
            <v>Small Pack</v>
          </cell>
          <cell r="N911" t="str">
            <v>Express Air</v>
          </cell>
          <cell r="O911">
            <v>42610</v>
          </cell>
          <cell r="P911">
            <v>5.19</v>
          </cell>
          <cell r="Q911">
            <v>12.98</v>
          </cell>
          <cell r="R911">
            <v>7.79</v>
          </cell>
          <cell r="S911">
            <v>42</v>
          </cell>
          <cell r="T911">
            <v>545.16</v>
          </cell>
          <cell r="V911">
            <v>27.257999999999999</v>
          </cell>
          <cell r="W911">
            <v>517.90199999999993</v>
          </cell>
          <cell r="X911">
            <v>3.14</v>
          </cell>
          <cell r="Y911">
            <v>521.04199999999992</v>
          </cell>
        </row>
        <row r="912">
          <cell r="A912" t="str">
            <v>6390-1</v>
          </cell>
          <cell r="B912">
            <v>42613</v>
          </cell>
          <cell r="C912" t="str">
            <v>2016</v>
          </cell>
          <cell r="D912" t="str">
            <v>Clay Ludtke</v>
          </cell>
          <cell r="E912" t="str">
            <v>7 Khartoum Rd,Macquarie Park</v>
          </cell>
          <cell r="F912" t="str">
            <v>Sydney</v>
          </cell>
          <cell r="G912" t="str">
            <v>NSW</v>
          </cell>
          <cell r="H912" t="str">
            <v>Consumer</v>
          </cell>
          <cell r="I912" t="str">
            <v>Preston Senome</v>
          </cell>
          <cell r="J912" t="str">
            <v>Critical</v>
          </cell>
          <cell r="K912" t="str">
            <v>Alto Memo Cubes</v>
          </cell>
          <cell r="L912" t="str">
            <v>Office Supplies</v>
          </cell>
          <cell r="M912" t="str">
            <v>Wrap Bag</v>
          </cell>
          <cell r="N912" t="str">
            <v>Regular Air</v>
          </cell>
          <cell r="O912">
            <v>42615</v>
          </cell>
          <cell r="P912">
            <v>3.32</v>
          </cell>
          <cell r="Q912">
            <v>5.18</v>
          </cell>
          <cell r="R912">
            <v>1.8599999999999999</v>
          </cell>
          <cell r="S912">
            <v>32</v>
          </cell>
          <cell r="T912">
            <v>165.76</v>
          </cell>
          <cell r="V912">
            <v>9.9455999999999989</v>
          </cell>
          <cell r="W912">
            <v>155.81439999999998</v>
          </cell>
          <cell r="X912">
            <v>2.04</v>
          </cell>
          <cell r="Y912">
            <v>157.85439999999997</v>
          </cell>
        </row>
        <row r="913">
          <cell r="A913" t="str">
            <v>6391-1</v>
          </cell>
          <cell r="B913">
            <v>42616</v>
          </cell>
          <cell r="C913" t="str">
            <v>2016</v>
          </cell>
          <cell r="D913" t="str">
            <v>Cynthia Voltz</v>
          </cell>
          <cell r="E913" t="str">
            <v>Westfield Miranda, 600 Kingsway,Miranda</v>
          </cell>
          <cell r="F913" t="str">
            <v>Sydney</v>
          </cell>
          <cell r="G913" t="str">
            <v>NSW</v>
          </cell>
          <cell r="H913" t="str">
            <v>Corporate</v>
          </cell>
          <cell r="I913" t="str">
            <v>Preston Senome</v>
          </cell>
          <cell r="J913" t="str">
            <v>Not Specified</v>
          </cell>
          <cell r="K913" t="str">
            <v>TechSavi Access Keyboard</v>
          </cell>
          <cell r="L913" t="str">
            <v>Technology</v>
          </cell>
          <cell r="M913" t="str">
            <v>Small Box</v>
          </cell>
          <cell r="N913" t="str">
            <v>Regular Air</v>
          </cell>
          <cell r="O913">
            <v>42618</v>
          </cell>
          <cell r="P913">
            <v>10.07</v>
          </cell>
          <cell r="Q913">
            <v>15.98</v>
          </cell>
          <cell r="R913">
            <v>5.91</v>
          </cell>
          <cell r="S913">
            <v>30</v>
          </cell>
          <cell r="T913">
            <v>479.40000000000003</v>
          </cell>
          <cell r="V913">
            <v>38.352000000000004</v>
          </cell>
          <cell r="W913">
            <v>441.048</v>
          </cell>
          <cell r="X913">
            <v>4</v>
          </cell>
          <cell r="Y913">
            <v>445.048</v>
          </cell>
        </row>
        <row r="914">
          <cell r="A914" t="str">
            <v>6392-1</v>
          </cell>
          <cell r="B914">
            <v>42617</v>
          </cell>
          <cell r="C914" t="str">
            <v>2016</v>
          </cell>
          <cell r="D914" t="str">
            <v>Meg Tillman</v>
          </cell>
          <cell r="E914" t="str">
            <v>531 King St,Newtown</v>
          </cell>
          <cell r="F914" t="str">
            <v>Sydney</v>
          </cell>
          <cell r="G914" t="str">
            <v>NSW</v>
          </cell>
          <cell r="H914" t="str">
            <v>Small Business</v>
          </cell>
          <cell r="I914" t="str">
            <v>Mihael Khan</v>
          </cell>
          <cell r="J914" t="str">
            <v>Medium</v>
          </cell>
          <cell r="K914" t="str">
            <v>Artisan 48 Labels</v>
          </cell>
          <cell r="L914" t="str">
            <v>Office Supplies</v>
          </cell>
          <cell r="M914" t="str">
            <v>Small Box</v>
          </cell>
          <cell r="N914" t="str">
            <v>Regular Air</v>
          </cell>
          <cell r="O914">
            <v>42620</v>
          </cell>
          <cell r="P914">
            <v>3.84</v>
          </cell>
          <cell r="Q914">
            <v>6.3</v>
          </cell>
          <cell r="R914">
            <v>2.46</v>
          </cell>
          <cell r="S914">
            <v>40</v>
          </cell>
          <cell r="T914">
            <v>252</v>
          </cell>
          <cell r="V914">
            <v>10.08</v>
          </cell>
          <cell r="W914">
            <v>241.92</v>
          </cell>
          <cell r="X914">
            <v>0.5</v>
          </cell>
          <cell r="Y914">
            <v>242.42</v>
          </cell>
        </row>
        <row r="915">
          <cell r="A915" t="str">
            <v>6393-1</v>
          </cell>
          <cell r="B915">
            <v>42618</v>
          </cell>
          <cell r="C915" t="str">
            <v>2016</v>
          </cell>
          <cell r="D915" t="str">
            <v>Kristina Nunn</v>
          </cell>
          <cell r="E915" t="str">
            <v>22 Civic Rd,Auburn</v>
          </cell>
          <cell r="F915" t="str">
            <v>Sydney</v>
          </cell>
          <cell r="G915" t="str">
            <v>NSW</v>
          </cell>
          <cell r="H915" t="str">
            <v>Consumer</v>
          </cell>
          <cell r="I915" t="str">
            <v>Mihael Khan</v>
          </cell>
          <cell r="J915" t="str">
            <v>Medium</v>
          </cell>
          <cell r="K915" t="str">
            <v>Smiths Bulldog Clip</v>
          </cell>
          <cell r="L915" t="str">
            <v>Office Supplies</v>
          </cell>
          <cell r="M915" t="str">
            <v>Wrap Bag</v>
          </cell>
          <cell r="N915" t="str">
            <v>Regular Air</v>
          </cell>
          <cell r="O915">
            <v>42620</v>
          </cell>
          <cell r="P915">
            <v>2.31</v>
          </cell>
          <cell r="Q915">
            <v>3.78</v>
          </cell>
          <cell r="R915">
            <v>1.4699999999999998</v>
          </cell>
          <cell r="S915">
            <v>38</v>
          </cell>
          <cell r="T915">
            <v>143.63999999999999</v>
          </cell>
          <cell r="V915">
            <v>4.3091999999999997</v>
          </cell>
          <cell r="W915">
            <v>139.33079999999998</v>
          </cell>
          <cell r="X915">
            <v>0.71</v>
          </cell>
          <cell r="Y915">
            <v>140.04079999999999</v>
          </cell>
        </row>
        <row r="916">
          <cell r="A916" t="str">
            <v>6394-1</v>
          </cell>
          <cell r="B916">
            <v>42619</v>
          </cell>
          <cell r="C916" t="str">
            <v>2016</v>
          </cell>
          <cell r="D916" t="str">
            <v>Darrin Van Huff</v>
          </cell>
          <cell r="E916" t="str">
            <v>53-55 Liverpool St,Sydney</v>
          </cell>
          <cell r="F916" t="str">
            <v>Sydney</v>
          </cell>
          <cell r="G916" t="str">
            <v>NSW</v>
          </cell>
          <cell r="H916" t="str">
            <v>Home Office</v>
          </cell>
          <cell r="I916" t="str">
            <v>Tina Carlton</v>
          </cell>
          <cell r="J916" t="str">
            <v>Medium</v>
          </cell>
          <cell r="K916" t="str">
            <v>300 Series Non-Flip</v>
          </cell>
          <cell r="L916" t="str">
            <v>Technology</v>
          </cell>
          <cell r="M916" t="str">
            <v>Small Box</v>
          </cell>
          <cell r="N916" t="str">
            <v>Express Air</v>
          </cell>
          <cell r="O916">
            <v>42621</v>
          </cell>
          <cell r="P916">
            <v>62.4</v>
          </cell>
          <cell r="Q916">
            <v>155.99</v>
          </cell>
          <cell r="R916">
            <v>93.59</v>
          </cell>
          <cell r="S916">
            <v>22</v>
          </cell>
          <cell r="T916">
            <v>3431.78</v>
          </cell>
          <cell r="V916">
            <v>68.635600000000011</v>
          </cell>
          <cell r="W916">
            <v>3363.1444000000001</v>
          </cell>
          <cell r="X916">
            <v>8.08</v>
          </cell>
          <cell r="Y916">
            <v>3371.2244000000001</v>
          </cell>
        </row>
        <row r="917">
          <cell r="A917" t="str">
            <v>6395-1</v>
          </cell>
          <cell r="B917">
            <v>42619</v>
          </cell>
          <cell r="C917" t="str">
            <v>2016</v>
          </cell>
          <cell r="D917" t="str">
            <v>Raymond Fair</v>
          </cell>
          <cell r="E917" t="str">
            <v>188 Pitt Street,Sydney</v>
          </cell>
          <cell r="F917" t="str">
            <v>Sydney</v>
          </cell>
          <cell r="G917" t="str">
            <v>NSW</v>
          </cell>
          <cell r="H917" t="str">
            <v>Small Business</v>
          </cell>
          <cell r="I917" t="str">
            <v>Tina Carlton</v>
          </cell>
          <cell r="J917" t="str">
            <v>High</v>
          </cell>
          <cell r="K917" t="str">
            <v>Artisan Hi-Liter GlideStik Fluorescent Highlighter, Yellow Ink</v>
          </cell>
          <cell r="L917" t="str">
            <v>Office Supplies</v>
          </cell>
          <cell r="M917" t="str">
            <v>Wrap Bag</v>
          </cell>
          <cell r="N917" t="str">
            <v>Regular Air</v>
          </cell>
          <cell r="O917">
            <v>42621</v>
          </cell>
          <cell r="P917">
            <v>1.92</v>
          </cell>
          <cell r="Q917">
            <v>3.26</v>
          </cell>
          <cell r="R917">
            <v>1.3399999999999999</v>
          </cell>
          <cell r="S917">
            <v>38</v>
          </cell>
          <cell r="T917">
            <v>123.88</v>
          </cell>
          <cell r="V917">
            <v>2.4775999999999998</v>
          </cell>
          <cell r="W917">
            <v>121.4024</v>
          </cell>
          <cell r="X917">
            <v>1.86</v>
          </cell>
          <cell r="Y917">
            <v>123.2624</v>
          </cell>
        </row>
        <row r="918">
          <cell r="A918" t="str">
            <v>6396-1</v>
          </cell>
          <cell r="B918">
            <v>42626</v>
          </cell>
          <cell r="C918" t="str">
            <v>2016</v>
          </cell>
          <cell r="D918" t="str">
            <v>Christina Vanderzanden</v>
          </cell>
          <cell r="E918" t="str">
            <v>188 Pitt Street,Sydney</v>
          </cell>
          <cell r="F918" t="str">
            <v>Sydney</v>
          </cell>
          <cell r="G918" t="str">
            <v>NSW</v>
          </cell>
          <cell r="H918" t="str">
            <v>Small Business</v>
          </cell>
          <cell r="I918" t="str">
            <v>Tina Carlton</v>
          </cell>
          <cell r="J918" t="str">
            <v>Low</v>
          </cell>
          <cell r="K918" t="str">
            <v>Smiths File Caddy</v>
          </cell>
          <cell r="L918" t="str">
            <v>Office Supplies</v>
          </cell>
          <cell r="M918" t="str">
            <v>Small Box</v>
          </cell>
          <cell r="N918" t="str">
            <v>Express Air</v>
          </cell>
          <cell r="O918">
            <v>42633</v>
          </cell>
          <cell r="P918">
            <v>4.03</v>
          </cell>
          <cell r="Q918">
            <v>9.3800000000000008</v>
          </cell>
          <cell r="R918">
            <v>5.3500000000000005</v>
          </cell>
          <cell r="S918">
            <v>46</v>
          </cell>
          <cell r="T918">
            <v>431.48</v>
          </cell>
          <cell r="V918">
            <v>38.833199999999998</v>
          </cell>
          <cell r="W918">
            <v>392.64680000000004</v>
          </cell>
          <cell r="X918">
            <v>7.28</v>
          </cell>
          <cell r="Y918">
            <v>399.92680000000001</v>
          </cell>
        </row>
        <row r="919">
          <cell r="A919" t="str">
            <v>6397-1</v>
          </cell>
          <cell r="B919">
            <v>42627</v>
          </cell>
          <cell r="C919" t="str">
            <v>2016</v>
          </cell>
          <cell r="D919" t="str">
            <v>Nathan Gelder</v>
          </cell>
          <cell r="E919" t="str">
            <v>221 Barkly St,St Kilda</v>
          </cell>
          <cell r="F919" t="str">
            <v>Melbourne</v>
          </cell>
          <cell r="G919" t="str">
            <v>VIC</v>
          </cell>
          <cell r="H919" t="str">
            <v>Home Office</v>
          </cell>
          <cell r="I919" t="str">
            <v>Yvette Biti</v>
          </cell>
          <cell r="J919" t="str">
            <v>High</v>
          </cell>
          <cell r="K919" t="str">
            <v>Pizazz Colored Pencils</v>
          </cell>
          <cell r="L919" t="str">
            <v>Office Supplies</v>
          </cell>
          <cell r="M919" t="str">
            <v>Wrap Bag</v>
          </cell>
          <cell r="N919" t="str">
            <v>Regular Air</v>
          </cell>
          <cell r="O919">
            <v>42629</v>
          </cell>
          <cell r="P919">
            <v>1.76</v>
          </cell>
          <cell r="Q919">
            <v>2.94</v>
          </cell>
          <cell r="R919">
            <v>1.18</v>
          </cell>
          <cell r="S919">
            <v>26</v>
          </cell>
          <cell r="T919">
            <v>76.44</v>
          </cell>
          <cell r="V919">
            <v>2.2931999999999997</v>
          </cell>
          <cell r="W919">
            <v>74.146799999999999</v>
          </cell>
          <cell r="X919">
            <v>0.81</v>
          </cell>
          <cell r="Y919">
            <v>74.956800000000001</v>
          </cell>
        </row>
        <row r="920">
          <cell r="A920" t="str">
            <v>6399-1</v>
          </cell>
          <cell r="B920">
            <v>42628</v>
          </cell>
          <cell r="C920" t="str">
            <v>2016</v>
          </cell>
          <cell r="D920" t="str">
            <v>Brooke Gillingham</v>
          </cell>
          <cell r="E920" t="str">
            <v>21 Wentworth St,Parramatta</v>
          </cell>
          <cell r="F920" t="str">
            <v>Sydney</v>
          </cell>
          <cell r="G920" t="str">
            <v>NSW</v>
          </cell>
          <cell r="H920" t="str">
            <v>Small Business</v>
          </cell>
          <cell r="I920" t="str">
            <v>Aanya Zhang</v>
          </cell>
          <cell r="J920" t="str">
            <v>High</v>
          </cell>
          <cell r="K920" t="str">
            <v>Emerson LQ-870 Dot Matrix Printer</v>
          </cell>
          <cell r="L920" t="str">
            <v>Technology</v>
          </cell>
          <cell r="M920" t="str">
            <v>Jumbo Drum</v>
          </cell>
          <cell r="N920" t="str">
            <v>Delivery Truck</v>
          </cell>
          <cell r="O920">
            <v>42629</v>
          </cell>
          <cell r="P920">
            <v>219.61</v>
          </cell>
          <cell r="Q920">
            <v>535.64</v>
          </cell>
          <cell r="R920">
            <v>316.02999999999997</v>
          </cell>
          <cell r="S920">
            <v>44</v>
          </cell>
          <cell r="T920">
            <v>23568.16</v>
          </cell>
          <cell r="V920">
            <v>707.04480000000001</v>
          </cell>
          <cell r="W920">
            <v>22861.1152</v>
          </cell>
          <cell r="X920">
            <v>14.7</v>
          </cell>
          <cell r="Y920">
            <v>22875.815200000001</v>
          </cell>
        </row>
        <row r="921">
          <cell r="A921" t="str">
            <v>6401-1</v>
          </cell>
          <cell r="B921">
            <v>42630</v>
          </cell>
          <cell r="C921" t="str">
            <v>2016</v>
          </cell>
          <cell r="D921" t="str">
            <v>Giulietta Baptist</v>
          </cell>
          <cell r="E921" t="str">
            <v>Hoyts Entertainment Quarter 122 Lang Road,Moore Park</v>
          </cell>
          <cell r="F921" t="str">
            <v>Sydney</v>
          </cell>
          <cell r="G921" t="str">
            <v>NSW</v>
          </cell>
          <cell r="H921" t="str">
            <v>Home Office</v>
          </cell>
          <cell r="I921" t="str">
            <v>Tina Carlton</v>
          </cell>
          <cell r="J921" t="str">
            <v>Low</v>
          </cell>
          <cell r="K921" t="str">
            <v>Beekin 105-Key Black Keyboard</v>
          </cell>
          <cell r="L921" t="str">
            <v>Technology</v>
          </cell>
          <cell r="M921" t="str">
            <v>Small Box</v>
          </cell>
          <cell r="N921" t="str">
            <v>Regular Air</v>
          </cell>
          <cell r="O921">
            <v>42632</v>
          </cell>
          <cell r="P921">
            <v>6.39</v>
          </cell>
          <cell r="Q921">
            <v>19.98</v>
          </cell>
          <cell r="R921">
            <v>13.59</v>
          </cell>
          <cell r="S921">
            <v>44</v>
          </cell>
          <cell r="T921">
            <v>879.12</v>
          </cell>
          <cell r="V921">
            <v>26.3736</v>
          </cell>
          <cell r="W921">
            <v>852.74639999999999</v>
          </cell>
          <cell r="X921">
            <v>4</v>
          </cell>
          <cell r="Y921">
            <v>856.74639999999999</v>
          </cell>
        </row>
        <row r="922">
          <cell r="A922" t="str">
            <v>6402-1</v>
          </cell>
          <cell r="B922">
            <v>42631</v>
          </cell>
          <cell r="C922" t="str">
            <v>2016</v>
          </cell>
          <cell r="D922" t="str">
            <v>John Castell</v>
          </cell>
          <cell r="E922" t="str">
            <v>38/133-145 Castlereagh St,Sydney</v>
          </cell>
          <cell r="F922" t="str">
            <v>Sydney</v>
          </cell>
          <cell r="G922" t="str">
            <v>NSW</v>
          </cell>
          <cell r="H922" t="str">
            <v>Consumer</v>
          </cell>
          <cell r="I922" t="str">
            <v>Natasha Song</v>
          </cell>
          <cell r="J922" t="str">
            <v>Low</v>
          </cell>
          <cell r="K922" t="str">
            <v>Artisan 478 Labels</v>
          </cell>
          <cell r="L922" t="str">
            <v>Office Supplies</v>
          </cell>
          <cell r="M922" t="str">
            <v>Small Box</v>
          </cell>
          <cell r="N922" t="str">
            <v>Regular Air</v>
          </cell>
          <cell r="O922">
            <v>42631</v>
          </cell>
          <cell r="P922">
            <v>3.14</v>
          </cell>
          <cell r="Q922">
            <v>4.91</v>
          </cell>
          <cell r="R922">
            <v>1.77</v>
          </cell>
          <cell r="S922">
            <v>13</v>
          </cell>
          <cell r="T922">
            <v>63.83</v>
          </cell>
          <cell r="V922">
            <v>0.63829999999999998</v>
          </cell>
          <cell r="W922">
            <v>63.191699999999997</v>
          </cell>
          <cell r="X922">
            <v>0.5</v>
          </cell>
          <cell r="Y922">
            <v>63.691699999999997</v>
          </cell>
        </row>
        <row r="923">
          <cell r="A923" t="str">
            <v>6403-1</v>
          </cell>
          <cell r="B923">
            <v>42631</v>
          </cell>
          <cell r="C923" t="str">
            <v>2016</v>
          </cell>
          <cell r="D923" t="str">
            <v>Nora Price</v>
          </cell>
          <cell r="E923" t="str">
            <v>7 Khartoum Rd,Macquarie Park</v>
          </cell>
          <cell r="F923" t="str">
            <v>Sydney</v>
          </cell>
          <cell r="G923" t="str">
            <v>NSW</v>
          </cell>
          <cell r="H923" t="str">
            <v>Small Business</v>
          </cell>
          <cell r="I923" t="str">
            <v>Preston Senome</v>
          </cell>
          <cell r="J923" t="str">
            <v>Medium</v>
          </cell>
          <cell r="K923" t="str">
            <v>Artisan Printable Repositionable Plastic Tabs</v>
          </cell>
          <cell r="L923" t="str">
            <v>Office Supplies</v>
          </cell>
          <cell r="M923" t="str">
            <v>Small Box</v>
          </cell>
          <cell r="N923" t="str">
            <v>Regular Air</v>
          </cell>
          <cell r="O923">
            <v>42633</v>
          </cell>
          <cell r="P923">
            <v>5.33</v>
          </cell>
          <cell r="Q923">
            <v>8.6</v>
          </cell>
          <cell r="R923">
            <v>3.2699999999999996</v>
          </cell>
          <cell r="S923">
            <v>2</v>
          </cell>
          <cell r="T923">
            <v>17.2</v>
          </cell>
          <cell r="V923">
            <v>0.51600000000000001</v>
          </cell>
          <cell r="W923">
            <v>16.683999999999997</v>
          </cell>
          <cell r="X923">
            <v>6.19</v>
          </cell>
          <cell r="Y923">
            <v>22.873999999999999</v>
          </cell>
        </row>
        <row r="924">
          <cell r="A924" t="str">
            <v>6403-2</v>
          </cell>
          <cell r="B924">
            <v>42631</v>
          </cell>
          <cell r="C924" t="str">
            <v>2016</v>
          </cell>
          <cell r="D924" t="str">
            <v>Nora Price</v>
          </cell>
          <cell r="E924" t="str">
            <v>7 Khartoum Rd,Macquarie Park</v>
          </cell>
          <cell r="F924" t="str">
            <v>Sydney</v>
          </cell>
          <cell r="G924" t="str">
            <v>NSW</v>
          </cell>
          <cell r="H924" t="str">
            <v>Small Business</v>
          </cell>
          <cell r="I924" t="str">
            <v>Preston Senome</v>
          </cell>
          <cell r="J924" t="str">
            <v>Medium</v>
          </cell>
          <cell r="K924" t="str">
            <v>Economy Rollaway Files</v>
          </cell>
          <cell r="L924" t="str">
            <v>Office Supplies</v>
          </cell>
          <cell r="M924" t="str">
            <v>Small Box</v>
          </cell>
          <cell r="N924" t="str">
            <v>Regular Air</v>
          </cell>
          <cell r="O924">
            <v>42632</v>
          </cell>
          <cell r="P924">
            <v>67.73</v>
          </cell>
          <cell r="Q924">
            <v>165.2</v>
          </cell>
          <cell r="R924">
            <v>97.469999999999985</v>
          </cell>
          <cell r="S924">
            <v>10</v>
          </cell>
          <cell r="T924">
            <v>1652</v>
          </cell>
          <cell r="V924">
            <v>132.16</v>
          </cell>
          <cell r="W924">
            <v>1519.84</v>
          </cell>
          <cell r="X924">
            <v>19.989999999999998</v>
          </cell>
          <cell r="Y924">
            <v>1539.83</v>
          </cell>
        </row>
        <row r="925">
          <cell r="A925" t="str">
            <v>6407-1</v>
          </cell>
          <cell r="B925">
            <v>42633</v>
          </cell>
          <cell r="C925" t="str">
            <v>2016</v>
          </cell>
          <cell r="D925" t="str">
            <v>Ashley Jarboe</v>
          </cell>
          <cell r="E925" t="str">
            <v>14 Knebworth Avenue, Perth</v>
          </cell>
          <cell r="F925" t="str">
            <v>Melbourne</v>
          </cell>
          <cell r="G925" t="str">
            <v>VIC</v>
          </cell>
          <cell r="H925" t="str">
            <v>Small Business</v>
          </cell>
          <cell r="I925" t="str">
            <v>Connor Betts</v>
          </cell>
          <cell r="J925" t="str">
            <v>Low</v>
          </cell>
          <cell r="K925" t="str">
            <v>Smiths SlimLine Pencil Sharpener</v>
          </cell>
          <cell r="L925" t="str">
            <v>Office Supplies</v>
          </cell>
          <cell r="M925" t="str">
            <v>Small Pack</v>
          </cell>
          <cell r="N925" t="str">
            <v>Regular Air</v>
          </cell>
          <cell r="O925">
            <v>42633</v>
          </cell>
          <cell r="P925">
            <v>4.79</v>
          </cell>
          <cell r="Q925">
            <v>11.97</v>
          </cell>
          <cell r="R925">
            <v>7.1800000000000006</v>
          </cell>
          <cell r="S925">
            <v>38</v>
          </cell>
          <cell r="T925">
            <v>454.86</v>
          </cell>
          <cell r="V925">
            <v>9.0972000000000008</v>
          </cell>
          <cell r="W925">
            <v>445.76280000000003</v>
          </cell>
          <cell r="X925">
            <v>5.81</v>
          </cell>
          <cell r="Y925">
            <v>451.57280000000003</v>
          </cell>
        </row>
        <row r="926">
          <cell r="A926" t="str">
            <v>6409-1</v>
          </cell>
          <cell r="B926">
            <v>42633</v>
          </cell>
          <cell r="C926" t="str">
            <v>2016</v>
          </cell>
          <cell r="D926" t="str">
            <v>Matthew Clasen</v>
          </cell>
          <cell r="E926" t="str">
            <v>Macquarie Centre Cnr Herring Road &amp; Waterloo Road,Macquarie Park</v>
          </cell>
          <cell r="F926" t="str">
            <v>Sydney</v>
          </cell>
          <cell r="G926" t="str">
            <v>NSW</v>
          </cell>
          <cell r="H926" t="str">
            <v>Consumer</v>
          </cell>
          <cell r="I926" t="str">
            <v>Nicholas Fernandes</v>
          </cell>
          <cell r="J926" t="str">
            <v>Low</v>
          </cell>
          <cell r="K926" t="str">
            <v>Wirebound Message Book, 4 per Page</v>
          </cell>
          <cell r="L926" t="str">
            <v>Office Supplies</v>
          </cell>
          <cell r="M926" t="str">
            <v>Wrap Bag</v>
          </cell>
          <cell r="N926" t="str">
            <v>Regular Air</v>
          </cell>
          <cell r="O926">
            <v>42633</v>
          </cell>
          <cell r="P926">
            <v>3.48</v>
          </cell>
          <cell r="Q926">
            <v>5.43</v>
          </cell>
          <cell r="R926">
            <v>1.9499999999999997</v>
          </cell>
          <cell r="S926">
            <v>12</v>
          </cell>
          <cell r="T926">
            <v>65.16</v>
          </cell>
          <cell r="V926">
            <v>0.65159999999999996</v>
          </cell>
          <cell r="W926">
            <v>64.508399999999995</v>
          </cell>
          <cell r="X926">
            <v>0.95</v>
          </cell>
          <cell r="Y926">
            <v>65.458399999999997</v>
          </cell>
        </row>
        <row r="927">
          <cell r="A927" t="str">
            <v>6411-1</v>
          </cell>
          <cell r="B927">
            <v>42634</v>
          </cell>
          <cell r="C927" t="str">
            <v>2016</v>
          </cell>
          <cell r="D927" t="str">
            <v>Dan Campbell</v>
          </cell>
          <cell r="E927" t="str">
            <v>1/173-179 Bronte Rd,Waverley</v>
          </cell>
          <cell r="F927" t="str">
            <v>Sydney</v>
          </cell>
          <cell r="G927" t="str">
            <v>NSW</v>
          </cell>
          <cell r="H927" t="str">
            <v>Corporate</v>
          </cell>
          <cell r="I927" t="str">
            <v>Leighton Forrest</v>
          </cell>
          <cell r="J927" t="str">
            <v>Medium</v>
          </cell>
          <cell r="K927" t="str">
            <v>Artisan Binder Labels</v>
          </cell>
          <cell r="L927" t="str">
            <v>Office Supplies</v>
          </cell>
          <cell r="M927" t="str">
            <v>Small Box</v>
          </cell>
          <cell r="N927" t="str">
            <v>Regular Air</v>
          </cell>
          <cell r="O927">
            <v>42634</v>
          </cell>
          <cell r="P927">
            <v>2.4500000000000002</v>
          </cell>
          <cell r="Q927">
            <v>3.89</v>
          </cell>
          <cell r="R927">
            <v>1.44</v>
          </cell>
          <cell r="S927">
            <v>50</v>
          </cell>
          <cell r="T927">
            <v>194.5</v>
          </cell>
          <cell r="V927">
            <v>15.56</v>
          </cell>
          <cell r="W927">
            <v>178.94</v>
          </cell>
          <cell r="X927">
            <v>7.01</v>
          </cell>
          <cell r="Y927">
            <v>185.95</v>
          </cell>
        </row>
        <row r="928">
          <cell r="A928" t="str">
            <v>6413-1</v>
          </cell>
          <cell r="B928">
            <v>42635</v>
          </cell>
          <cell r="C928" t="str">
            <v>2016</v>
          </cell>
          <cell r="D928" t="str">
            <v>Richard Bierner</v>
          </cell>
          <cell r="E928" t="str">
            <v>180 High Street,Windsor</v>
          </cell>
          <cell r="F928" t="str">
            <v>Melbourne</v>
          </cell>
          <cell r="G928" t="str">
            <v>VIC</v>
          </cell>
          <cell r="H928" t="str">
            <v>Small Business</v>
          </cell>
          <cell r="I928" t="str">
            <v>Connor Betts</v>
          </cell>
          <cell r="J928" t="str">
            <v>Medium</v>
          </cell>
          <cell r="K928" t="str">
            <v>EcoTones Memo Sheets</v>
          </cell>
          <cell r="L928" t="str">
            <v>Office Supplies</v>
          </cell>
          <cell r="M928" t="str">
            <v>Wrap Bag</v>
          </cell>
          <cell r="N928" t="str">
            <v>Regular Air</v>
          </cell>
          <cell r="O928">
            <v>42636</v>
          </cell>
          <cell r="P928">
            <v>2.52</v>
          </cell>
          <cell r="Q928">
            <v>4</v>
          </cell>
          <cell r="R928">
            <v>1.48</v>
          </cell>
          <cell r="S928">
            <v>22</v>
          </cell>
          <cell r="T928">
            <v>88</v>
          </cell>
          <cell r="V928">
            <v>7.92</v>
          </cell>
          <cell r="W928">
            <v>80.08</v>
          </cell>
          <cell r="X928">
            <v>1.3</v>
          </cell>
          <cell r="Y928">
            <v>81.38</v>
          </cell>
        </row>
        <row r="929">
          <cell r="A929" t="str">
            <v>6414-1</v>
          </cell>
          <cell r="B929">
            <v>42636</v>
          </cell>
          <cell r="C929" t="str">
            <v>2016</v>
          </cell>
          <cell r="D929" t="str">
            <v>Christine Phan</v>
          </cell>
          <cell r="E929" t="str">
            <v>10 O'Connell St,Sydney</v>
          </cell>
          <cell r="F929" t="str">
            <v>Sydney</v>
          </cell>
          <cell r="G929" t="str">
            <v>NSW</v>
          </cell>
          <cell r="H929" t="str">
            <v>Small Business</v>
          </cell>
          <cell r="I929" t="str">
            <v>Aanya Zhang</v>
          </cell>
          <cell r="J929" t="str">
            <v>Medium</v>
          </cell>
          <cell r="K929" t="str">
            <v>3Max Organizer Strips</v>
          </cell>
          <cell r="L929" t="str">
            <v>Office Supplies</v>
          </cell>
          <cell r="M929" t="str">
            <v>Small Box</v>
          </cell>
          <cell r="N929" t="str">
            <v>Regular Air</v>
          </cell>
          <cell r="O929">
            <v>42639</v>
          </cell>
          <cell r="P929">
            <v>3.4</v>
          </cell>
          <cell r="Q929">
            <v>5.4</v>
          </cell>
          <cell r="R929">
            <v>2.0000000000000004</v>
          </cell>
          <cell r="S929">
            <v>38</v>
          </cell>
          <cell r="T929">
            <v>205.20000000000002</v>
          </cell>
          <cell r="V929">
            <v>6.1560000000000006</v>
          </cell>
          <cell r="W929">
            <v>199.04400000000001</v>
          </cell>
          <cell r="X929">
            <v>7.78</v>
          </cell>
          <cell r="Y929">
            <v>206.82400000000001</v>
          </cell>
        </row>
        <row r="930">
          <cell r="A930" t="str">
            <v>6415-1</v>
          </cell>
          <cell r="B930">
            <v>42638</v>
          </cell>
          <cell r="C930" t="str">
            <v>2016</v>
          </cell>
          <cell r="D930" t="str">
            <v>Valerie Dominguez</v>
          </cell>
          <cell r="E930" t="str">
            <v>37/59 Brewer Street</v>
          </cell>
          <cell r="F930" t="str">
            <v>Perth</v>
          </cell>
          <cell r="G930" t="str">
            <v>WA</v>
          </cell>
          <cell r="H930" t="str">
            <v>Corporate</v>
          </cell>
          <cell r="I930" t="str">
            <v>Tina Carlton</v>
          </cell>
          <cell r="J930" t="str">
            <v>Critical</v>
          </cell>
          <cell r="K930" t="str">
            <v>Beekin 6 Outlet Metallic Surge Strip</v>
          </cell>
          <cell r="L930" t="str">
            <v>Office Supplies</v>
          </cell>
          <cell r="M930" t="str">
            <v>Small Box</v>
          </cell>
          <cell r="N930" t="str">
            <v>Regular Air</v>
          </cell>
          <cell r="O930">
            <v>42639</v>
          </cell>
          <cell r="P930">
            <v>4.46</v>
          </cell>
          <cell r="Q930">
            <v>10.89</v>
          </cell>
          <cell r="R930">
            <v>6.4300000000000006</v>
          </cell>
          <cell r="S930">
            <v>19</v>
          </cell>
          <cell r="T930">
            <v>206.91000000000003</v>
          </cell>
          <cell r="V930">
            <v>14.483700000000002</v>
          </cell>
          <cell r="W930">
            <v>192.42630000000003</v>
          </cell>
          <cell r="X930">
            <v>4.5</v>
          </cell>
          <cell r="Y930">
            <v>196.92630000000003</v>
          </cell>
        </row>
        <row r="931">
          <cell r="A931" t="str">
            <v>6417-1</v>
          </cell>
          <cell r="B931">
            <v>42639</v>
          </cell>
          <cell r="C931" t="str">
            <v>2016</v>
          </cell>
          <cell r="D931" t="str">
            <v>Christopher Martinez</v>
          </cell>
          <cell r="E931" t="str">
            <v>30 Wellington Street</v>
          </cell>
          <cell r="F931" t="str">
            <v>Perth</v>
          </cell>
          <cell r="G931" t="str">
            <v>WA</v>
          </cell>
          <cell r="H931" t="str">
            <v>Small Business</v>
          </cell>
          <cell r="I931" t="str">
            <v>Tina Carlton</v>
          </cell>
          <cell r="J931" t="str">
            <v>Medium</v>
          </cell>
          <cell r="K931" t="str">
            <v>Artisan Flip-Chart Easel Binder, Black</v>
          </cell>
          <cell r="L931" t="str">
            <v>Office Supplies</v>
          </cell>
          <cell r="M931" t="str">
            <v>Small Box</v>
          </cell>
          <cell r="N931" t="str">
            <v>Regular Air</v>
          </cell>
          <cell r="O931">
            <v>42641</v>
          </cell>
          <cell r="P931">
            <v>13.88</v>
          </cell>
          <cell r="Q931">
            <v>22.38</v>
          </cell>
          <cell r="R931">
            <v>8.4999999999999982</v>
          </cell>
          <cell r="S931">
            <v>34</v>
          </cell>
          <cell r="T931">
            <v>760.92</v>
          </cell>
          <cell r="V931">
            <v>53.264400000000002</v>
          </cell>
          <cell r="W931">
            <v>707.65559999999994</v>
          </cell>
          <cell r="X931">
            <v>15.1</v>
          </cell>
          <cell r="Y931">
            <v>722.75559999999996</v>
          </cell>
        </row>
        <row r="932">
          <cell r="A932" t="str">
            <v>6417-2</v>
          </cell>
          <cell r="B932">
            <v>42639</v>
          </cell>
          <cell r="C932" t="str">
            <v>2016</v>
          </cell>
          <cell r="D932" t="str">
            <v>Christopher Martinez</v>
          </cell>
          <cell r="E932" t="str">
            <v>31 Wellington Street</v>
          </cell>
          <cell r="F932" t="str">
            <v>Perth</v>
          </cell>
          <cell r="G932" t="str">
            <v>WA</v>
          </cell>
          <cell r="H932" t="str">
            <v>Small Business</v>
          </cell>
          <cell r="I932" t="str">
            <v>Tina Carlton</v>
          </cell>
          <cell r="J932" t="str">
            <v>Medium</v>
          </cell>
          <cell r="K932" t="str">
            <v>TechSavi Cordless Access Keyboard</v>
          </cell>
          <cell r="L932" t="str">
            <v>Technology</v>
          </cell>
          <cell r="M932" t="str">
            <v>Small Box</v>
          </cell>
          <cell r="N932" t="str">
            <v>Express Air</v>
          </cell>
          <cell r="O932">
            <v>42640</v>
          </cell>
          <cell r="P932">
            <v>14.7</v>
          </cell>
          <cell r="Q932">
            <v>29.99</v>
          </cell>
          <cell r="R932">
            <v>15.29</v>
          </cell>
          <cell r="S932">
            <v>36</v>
          </cell>
          <cell r="T932">
            <v>1079.6399999999999</v>
          </cell>
          <cell r="V932">
            <v>32.389199999999995</v>
          </cell>
          <cell r="W932">
            <v>1047.2507999999998</v>
          </cell>
          <cell r="X932">
            <v>5.5</v>
          </cell>
          <cell r="Y932">
            <v>1052.7507999999998</v>
          </cell>
        </row>
        <row r="933">
          <cell r="A933" t="str">
            <v>6418-1</v>
          </cell>
          <cell r="B933">
            <v>42639</v>
          </cell>
          <cell r="C933" t="str">
            <v>2016</v>
          </cell>
          <cell r="D933" t="str">
            <v>Mike Kennedy</v>
          </cell>
          <cell r="E933" t="str">
            <v>99 Lygon Street,East Brunswick</v>
          </cell>
          <cell r="F933" t="str">
            <v>Melbourne</v>
          </cell>
          <cell r="G933" t="str">
            <v>VIC</v>
          </cell>
          <cell r="H933" t="str">
            <v>Corporate</v>
          </cell>
          <cell r="I933" t="str">
            <v>Connor Betts</v>
          </cell>
          <cell r="J933" t="str">
            <v>Low</v>
          </cell>
          <cell r="K933" t="str">
            <v>Smiths Colored Bar Computer Paper</v>
          </cell>
          <cell r="L933" t="str">
            <v>Office Supplies</v>
          </cell>
          <cell r="M933" t="str">
            <v>Small Box</v>
          </cell>
          <cell r="N933" t="str">
            <v>Regular Air</v>
          </cell>
          <cell r="O933">
            <v>42648</v>
          </cell>
          <cell r="P933">
            <v>21.97</v>
          </cell>
          <cell r="Q933">
            <v>35.44</v>
          </cell>
          <cell r="R933">
            <v>13.469999999999999</v>
          </cell>
          <cell r="S933">
            <v>44</v>
          </cell>
          <cell r="T933">
            <v>1559.36</v>
          </cell>
          <cell r="V933">
            <v>15.593599999999999</v>
          </cell>
          <cell r="W933">
            <v>1543.7664</v>
          </cell>
          <cell r="X933">
            <v>4.92</v>
          </cell>
          <cell r="Y933">
            <v>1548.6864</v>
          </cell>
        </row>
        <row r="934">
          <cell r="A934" t="str">
            <v>6422-1</v>
          </cell>
          <cell r="B934">
            <v>42641</v>
          </cell>
          <cell r="C934" t="str">
            <v>2016</v>
          </cell>
          <cell r="D934" t="str">
            <v>Troy Staebel</v>
          </cell>
          <cell r="E934" t="str">
            <v>1-2/299 Sussex St,Sydney</v>
          </cell>
          <cell r="F934" t="str">
            <v>Sydney</v>
          </cell>
          <cell r="G934" t="str">
            <v>NSW</v>
          </cell>
          <cell r="H934" t="str">
            <v>Small Business</v>
          </cell>
          <cell r="I934" t="str">
            <v>Aanya Zhang</v>
          </cell>
          <cell r="J934" t="str">
            <v>High</v>
          </cell>
          <cell r="K934" t="str">
            <v>Smiths Colored Interoffice Envelopes</v>
          </cell>
          <cell r="L934" t="str">
            <v>Office Supplies</v>
          </cell>
          <cell r="M934" t="str">
            <v>Small Box</v>
          </cell>
          <cell r="N934" t="str">
            <v>Regular Air</v>
          </cell>
          <cell r="O934">
            <v>42643</v>
          </cell>
          <cell r="P934">
            <v>19.829999999999998</v>
          </cell>
          <cell r="Q934">
            <v>30.98</v>
          </cell>
          <cell r="R934">
            <v>11.150000000000002</v>
          </cell>
          <cell r="S934">
            <v>30</v>
          </cell>
          <cell r="T934">
            <v>929.4</v>
          </cell>
          <cell r="V934">
            <v>27.881999999999998</v>
          </cell>
          <cell r="W934">
            <v>901.51800000000003</v>
          </cell>
          <cell r="X934">
            <v>19.510000000000002</v>
          </cell>
          <cell r="Y934">
            <v>921.02800000000002</v>
          </cell>
        </row>
        <row r="935">
          <cell r="A935" t="str">
            <v>6423-1</v>
          </cell>
          <cell r="B935">
            <v>42643</v>
          </cell>
          <cell r="C935" t="str">
            <v>2016</v>
          </cell>
          <cell r="D935" t="str">
            <v>Laura Armstrong</v>
          </cell>
          <cell r="E935" t="str">
            <v>240-242 Johnston Street,Fitzroy</v>
          </cell>
          <cell r="F935" t="str">
            <v>Melbourne</v>
          </cell>
          <cell r="G935" t="str">
            <v>VIC</v>
          </cell>
          <cell r="H935" t="str">
            <v>Small Business</v>
          </cell>
          <cell r="I935" t="str">
            <v>Connor Betts</v>
          </cell>
          <cell r="J935" t="str">
            <v>High</v>
          </cell>
          <cell r="K935" t="str">
            <v>Alto Parchment Paper, Assorted Colors</v>
          </cell>
          <cell r="L935" t="str">
            <v>Office Supplies</v>
          </cell>
          <cell r="M935" t="str">
            <v>Small Box</v>
          </cell>
          <cell r="N935" t="str">
            <v>Regular Air</v>
          </cell>
          <cell r="O935">
            <v>42645</v>
          </cell>
          <cell r="P935">
            <v>4.59</v>
          </cell>
          <cell r="Q935">
            <v>7.28</v>
          </cell>
          <cell r="R935">
            <v>2.6900000000000004</v>
          </cell>
          <cell r="S935">
            <v>50</v>
          </cell>
          <cell r="T935">
            <v>364</v>
          </cell>
          <cell r="V935">
            <v>3.64</v>
          </cell>
          <cell r="W935">
            <v>360.36</v>
          </cell>
          <cell r="X935">
            <v>11.15</v>
          </cell>
          <cell r="Y935">
            <v>371.51</v>
          </cell>
        </row>
        <row r="936">
          <cell r="A936" t="str">
            <v>6425-1</v>
          </cell>
          <cell r="B936">
            <v>42644</v>
          </cell>
          <cell r="C936" t="str">
            <v>2016</v>
          </cell>
          <cell r="D936" t="str">
            <v>Phillip Flathmann</v>
          </cell>
          <cell r="E936" t="str">
            <v>Macquarie Centre Cnr Herring Road &amp; Waterloo Road,Macquarie Park</v>
          </cell>
          <cell r="F936" t="str">
            <v>Sydney</v>
          </cell>
          <cell r="G936" t="str">
            <v>NSW</v>
          </cell>
          <cell r="H936" t="str">
            <v>Small Business</v>
          </cell>
          <cell r="I936" t="str">
            <v>Nicholas Fernandes</v>
          </cell>
          <cell r="J936" t="str">
            <v>Medium</v>
          </cell>
          <cell r="K936" t="str">
            <v>Smiths Colored Interoffice Envelopes</v>
          </cell>
          <cell r="L936" t="str">
            <v>Office Supplies</v>
          </cell>
          <cell r="M936" t="str">
            <v>Small Box</v>
          </cell>
          <cell r="N936" t="str">
            <v>Regular Air</v>
          </cell>
          <cell r="O936">
            <v>42645</v>
          </cell>
          <cell r="P936">
            <v>19.829999999999998</v>
          </cell>
          <cell r="Q936">
            <v>30.98</v>
          </cell>
          <cell r="R936">
            <v>11.150000000000002</v>
          </cell>
          <cell r="S936">
            <v>37</v>
          </cell>
          <cell r="T936">
            <v>1146.26</v>
          </cell>
          <cell r="V936">
            <v>11.4626</v>
          </cell>
          <cell r="W936">
            <v>1134.7973999999999</v>
          </cell>
          <cell r="X936">
            <v>19.510000000000002</v>
          </cell>
          <cell r="Y936">
            <v>1154.3073999999999</v>
          </cell>
        </row>
        <row r="937">
          <cell r="A937" t="str">
            <v>6426-1</v>
          </cell>
          <cell r="B937">
            <v>42644</v>
          </cell>
          <cell r="C937" t="str">
            <v>2016</v>
          </cell>
          <cell r="D937" t="str">
            <v>David Flashing</v>
          </cell>
          <cell r="E937" t="str">
            <v>Westfield 1 Anderson St,Chatswood</v>
          </cell>
          <cell r="F937" t="str">
            <v>Sydney</v>
          </cell>
          <cell r="G937" t="str">
            <v>NSW</v>
          </cell>
          <cell r="H937" t="str">
            <v>Home Office</v>
          </cell>
          <cell r="I937" t="str">
            <v>Nicholas Fernandes</v>
          </cell>
          <cell r="J937" t="str">
            <v>Medium</v>
          </cell>
          <cell r="K937" t="str">
            <v>Steady Colorific Colored Pencils, 12/Box</v>
          </cell>
          <cell r="L937" t="str">
            <v>Office Supplies</v>
          </cell>
          <cell r="M937" t="str">
            <v>Wrap Bag</v>
          </cell>
          <cell r="N937" t="str">
            <v>Regular Air</v>
          </cell>
          <cell r="O937">
            <v>42645</v>
          </cell>
          <cell r="P937">
            <v>1.3</v>
          </cell>
          <cell r="Q937">
            <v>2.88</v>
          </cell>
          <cell r="R937">
            <v>1.5799999999999998</v>
          </cell>
          <cell r="S937">
            <v>46</v>
          </cell>
          <cell r="T937">
            <v>132.47999999999999</v>
          </cell>
          <cell r="V937">
            <v>6.6239999999999997</v>
          </cell>
          <cell r="W937">
            <v>125.85599999999999</v>
          </cell>
          <cell r="X937">
            <v>1.01</v>
          </cell>
          <cell r="Y937">
            <v>126.866</v>
          </cell>
        </row>
        <row r="938">
          <cell r="A938" t="str">
            <v>6427-1</v>
          </cell>
          <cell r="B938">
            <v>42649</v>
          </cell>
          <cell r="C938" t="str">
            <v>2016</v>
          </cell>
          <cell r="D938" t="str">
            <v>Katherine Ducich</v>
          </cell>
          <cell r="E938" t="str">
            <v>61A Bay Road,Wollstonecraft</v>
          </cell>
          <cell r="F938" t="str">
            <v>Sydney</v>
          </cell>
          <cell r="G938" t="str">
            <v>NSW</v>
          </cell>
          <cell r="H938" t="str">
            <v>Corporate</v>
          </cell>
          <cell r="I938" t="str">
            <v>Samantha Chairs</v>
          </cell>
          <cell r="J938" t="str">
            <v>High</v>
          </cell>
          <cell r="K938" t="str">
            <v>Smiths Standard Envelopes</v>
          </cell>
          <cell r="L938" t="str">
            <v>Office Supplies</v>
          </cell>
          <cell r="M938" t="str">
            <v>Small Box</v>
          </cell>
          <cell r="N938" t="str">
            <v>Regular Air</v>
          </cell>
          <cell r="O938">
            <v>42651</v>
          </cell>
          <cell r="P938">
            <v>3.52</v>
          </cell>
          <cell r="Q938">
            <v>5.68</v>
          </cell>
          <cell r="R938">
            <v>2.1599999999999997</v>
          </cell>
          <cell r="S938">
            <v>23</v>
          </cell>
          <cell r="T938">
            <v>130.63999999999999</v>
          </cell>
          <cell r="V938">
            <v>2.6127999999999996</v>
          </cell>
          <cell r="W938">
            <v>128.02719999999999</v>
          </cell>
          <cell r="X938">
            <v>1.39</v>
          </cell>
          <cell r="Y938">
            <v>129.41719999999998</v>
          </cell>
        </row>
        <row r="939">
          <cell r="A939" t="str">
            <v>6429-1</v>
          </cell>
          <cell r="B939">
            <v>42651</v>
          </cell>
          <cell r="C939" t="str">
            <v>2016</v>
          </cell>
          <cell r="D939" t="str">
            <v>Sylvia Foulston</v>
          </cell>
          <cell r="E939" t="str">
            <v>101 Murray Street</v>
          </cell>
          <cell r="F939" t="str">
            <v>Perth</v>
          </cell>
          <cell r="G939" t="str">
            <v>WA</v>
          </cell>
          <cell r="H939" t="str">
            <v>Corporate</v>
          </cell>
          <cell r="I939" t="str">
            <v>Tina Carlton</v>
          </cell>
          <cell r="J939" t="str">
            <v>High</v>
          </cell>
          <cell r="K939" t="str">
            <v>Brown Kraft Recycled Envelopes</v>
          </cell>
          <cell r="L939" t="str">
            <v>Office Supplies</v>
          </cell>
          <cell r="M939" t="str">
            <v>Small Box</v>
          </cell>
          <cell r="N939" t="str">
            <v>Regular Air</v>
          </cell>
          <cell r="O939">
            <v>42651</v>
          </cell>
          <cell r="P939">
            <v>11.04</v>
          </cell>
          <cell r="Q939">
            <v>16.98</v>
          </cell>
          <cell r="R939">
            <v>5.9400000000000013</v>
          </cell>
          <cell r="S939">
            <v>43</v>
          </cell>
          <cell r="T939">
            <v>730.14</v>
          </cell>
          <cell r="V939">
            <v>65.712599999999995</v>
          </cell>
          <cell r="W939">
            <v>664.42740000000003</v>
          </cell>
          <cell r="X939">
            <v>12.39</v>
          </cell>
          <cell r="Y939">
            <v>676.81740000000002</v>
          </cell>
        </row>
        <row r="940">
          <cell r="A940" t="str">
            <v>6430-1</v>
          </cell>
          <cell r="B940">
            <v>42654</v>
          </cell>
          <cell r="C940" t="str">
            <v>2016</v>
          </cell>
          <cell r="D940" t="str">
            <v>Tony Sayre</v>
          </cell>
          <cell r="E940" t="str">
            <v>499-501 Lygon Street,Carlton North</v>
          </cell>
          <cell r="F940" t="str">
            <v>Melbourne</v>
          </cell>
          <cell r="G940" t="str">
            <v>VIC</v>
          </cell>
          <cell r="H940" t="str">
            <v>Small Business</v>
          </cell>
          <cell r="I940" t="str">
            <v>Yvette Biti</v>
          </cell>
          <cell r="J940" t="str">
            <v>Low</v>
          </cell>
          <cell r="K940" t="str">
            <v>Smiths Bulldog Clip</v>
          </cell>
          <cell r="L940" t="str">
            <v>Office Supplies</v>
          </cell>
          <cell r="M940" t="str">
            <v>Wrap Bag</v>
          </cell>
          <cell r="N940" t="str">
            <v>Regular Air</v>
          </cell>
          <cell r="O940">
            <v>42658</v>
          </cell>
          <cell r="P940">
            <v>2.31</v>
          </cell>
          <cell r="Q940">
            <v>3.78</v>
          </cell>
          <cell r="R940">
            <v>1.4699999999999998</v>
          </cell>
          <cell r="S940">
            <v>22</v>
          </cell>
          <cell r="T940">
            <v>83.16</v>
          </cell>
          <cell r="V940">
            <v>8.3160000000000007</v>
          </cell>
          <cell r="W940">
            <v>74.843999999999994</v>
          </cell>
          <cell r="X940">
            <v>0.71</v>
          </cell>
          <cell r="Y940">
            <v>75.553999999999988</v>
          </cell>
        </row>
        <row r="941">
          <cell r="A941" t="str">
            <v>6432-1</v>
          </cell>
          <cell r="B941">
            <v>42655</v>
          </cell>
          <cell r="C941" t="str">
            <v>2016</v>
          </cell>
          <cell r="D941" t="str">
            <v>Thea Hendricks</v>
          </cell>
          <cell r="E941" t="str">
            <v>412 Brunswick St,Fitzroy</v>
          </cell>
          <cell r="F941" t="str">
            <v>Melbourne</v>
          </cell>
          <cell r="G941" t="str">
            <v>VIC</v>
          </cell>
          <cell r="H941" t="str">
            <v>Home Office</v>
          </cell>
          <cell r="I941" t="str">
            <v>Connor Betts</v>
          </cell>
          <cell r="J941" t="str">
            <v>Not Specified</v>
          </cell>
          <cell r="K941" t="str">
            <v>TypeRight Side-Opening Peel &amp; Seel Expanding Envelopes</v>
          </cell>
          <cell r="L941" t="str">
            <v>Office Supplies</v>
          </cell>
          <cell r="M941" t="str">
            <v>Small Box</v>
          </cell>
          <cell r="N941" t="str">
            <v>Regular Air</v>
          </cell>
          <cell r="O941">
            <v>42657</v>
          </cell>
          <cell r="P941">
            <v>54.29</v>
          </cell>
          <cell r="Q941">
            <v>90.48</v>
          </cell>
          <cell r="R941">
            <v>36.190000000000005</v>
          </cell>
          <cell r="S941">
            <v>25</v>
          </cell>
          <cell r="T941">
            <v>2262</v>
          </cell>
          <cell r="V941">
            <v>45.24</v>
          </cell>
          <cell r="W941">
            <v>2216.7600000000002</v>
          </cell>
          <cell r="X941">
            <v>19.989999999999998</v>
          </cell>
          <cell r="Y941">
            <v>2236.75</v>
          </cell>
        </row>
        <row r="942">
          <cell r="A942" t="str">
            <v>6433-1</v>
          </cell>
          <cell r="B942">
            <v>42656</v>
          </cell>
          <cell r="C942" t="str">
            <v>2016</v>
          </cell>
          <cell r="D942" t="str">
            <v>Naresj Patel</v>
          </cell>
          <cell r="E942" t="str">
            <v>106 Ebley Street,Bondi Junction</v>
          </cell>
          <cell r="F942" t="str">
            <v>Sydney</v>
          </cell>
          <cell r="G942" t="str">
            <v>NSW</v>
          </cell>
          <cell r="H942" t="str">
            <v>Corporate</v>
          </cell>
          <cell r="I942" t="str">
            <v>Leighton Forrest</v>
          </cell>
          <cell r="J942" t="str">
            <v>Low</v>
          </cell>
          <cell r="K942" t="str">
            <v>TypeRight  Top-Opening Peel &amp; Seel Envelopes, Plain White</v>
          </cell>
          <cell r="L942" t="str">
            <v>Office Supplies</v>
          </cell>
          <cell r="M942" t="str">
            <v>Small Box</v>
          </cell>
          <cell r="N942" t="str">
            <v>Regular Air</v>
          </cell>
          <cell r="O942">
            <v>42661</v>
          </cell>
          <cell r="P942">
            <v>16.850000000000001</v>
          </cell>
          <cell r="Q942">
            <v>27.18</v>
          </cell>
          <cell r="R942">
            <v>10.329999999999998</v>
          </cell>
          <cell r="S942">
            <v>38</v>
          </cell>
          <cell r="T942">
            <v>1032.8399999999999</v>
          </cell>
          <cell r="V942">
            <v>10.3284</v>
          </cell>
          <cell r="W942">
            <v>1022.5115999999999</v>
          </cell>
          <cell r="X942">
            <v>8.23</v>
          </cell>
          <cell r="Y942">
            <v>1030.7415999999998</v>
          </cell>
        </row>
        <row r="943">
          <cell r="A943" t="str">
            <v>6434-1</v>
          </cell>
          <cell r="B943">
            <v>42657</v>
          </cell>
          <cell r="C943" t="str">
            <v>2016</v>
          </cell>
          <cell r="D943" t="str">
            <v>Cynthia Arntzen</v>
          </cell>
          <cell r="E943" t="str">
            <v>Hoyts Entertainment Quarter 122 Lang Road,Moore Park</v>
          </cell>
          <cell r="F943" t="str">
            <v>Sydney</v>
          </cell>
          <cell r="G943" t="str">
            <v>NSW</v>
          </cell>
          <cell r="H943" t="str">
            <v>Small Business</v>
          </cell>
          <cell r="I943" t="str">
            <v>Tina Carlton</v>
          </cell>
          <cell r="J943" t="str">
            <v>Medium</v>
          </cell>
          <cell r="K943" t="str">
            <v>Beekin 105-Key Black Keyboard</v>
          </cell>
          <cell r="L943" t="str">
            <v>Technology</v>
          </cell>
          <cell r="M943" t="str">
            <v>Small Box</v>
          </cell>
          <cell r="N943" t="str">
            <v>Regular Air</v>
          </cell>
          <cell r="O943">
            <v>42660</v>
          </cell>
          <cell r="P943">
            <v>6.39</v>
          </cell>
          <cell r="Q943">
            <v>19.98</v>
          </cell>
          <cell r="R943">
            <v>13.59</v>
          </cell>
          <cell r="S943">
            <v>9</v>
          </cell>
          <cell r="T943">
            <v>179.82</v>
          </cell>
          <cell r="V943">
            <v>10.789199999999999</v>
          </cell>
          <cell r="W943">
            <v>169.0308</v>
          </cell>
          <cell r="X943">
            <v>4</v>
          </cell>
          <cell r="Y943">
            <v>173.0308</v>
          </cell>
        </row>
        <row r="944">
          <cell r="A944" t="str">
            <v>6436-1</v>
          </cell>
          <cell r="B944">
            <v>42658</v>
          </cell>
          <cell r="C944" t="str">
            <v>2016</v>
          </cell>
          <cell r="D944" t="str">
            <v>Barry Franz</v>
          </cell>
          <cell r="E944" t="str">
            <v>65 Palmerston Street, Perth</v>
          </cell>
          <cell r="F944" t="str">
            <v>Melbourne</v>
          </cell>
          <cell r="G944" t="str">
            <v>VIC</v>
          </cell>
          <cell r="H944" t="str">
            <v>Corporate</v>
          </cell>
          <cell r="I944" t="str">
            <v>Yvette Biti</v>
          </cell>
          <cell r="J944" t="str">
            <v>Not Specified</v>
          </cell>
          <cell r="K944" t="str">
            <v>3Max Polarizing Task Lamp with Clamp Arm, Light Gray</v>
          </cell>
          <cell r="L944" t="str">
            <v>Furniture</v>
          </cell>
          <cell r="M944" t="str">
            <v>Large Box</v>
          </cell>
          <cell r="N944" t="str">
            <v>Regular Air</v>
          </cell>
          <cell r="O944">
            <v>42658</v>
          </cell>
          <cell r="P944">
            <v>56.16</v>
          </cell>
          <cell r="Q944">
            <v>136.97999999999999</v>
          </cell>
          <cell r="R944">
            <v>80.819999999999993</v>
          </cell>
          <cell r="S944">
            <v>27</v>
          </cell>
          <cell r="T944">
            <v>3698.4599999999996</v>
          </cell>
          <cell r="V944">
            <v>332.86139999999995</v>
          </cell>
          <cell r="W944">
            <v>3365.5985999999998</v>
          </cell>
          <cell r="X944">
            <v>24.49</v>
          </cell>
          <cell r="Y944">
            <v>3390.0885999999996</v>
          </cell>
        </row>
        <row r="945">
          <cell r="A945" t="str">
            <v>6437-1</v>
          </cell>
          <cell r="B945">
            <v>42658</v>
          </cell>
          <cell r="C945" t="str">
            <v>2016</v>
          </cell>
          <cell r="D945" t="str">
            <v>Lisa DeCherney</v>
          </cell>
          <cell r="E945" t="str">
            <v>324A King St,Newtown</v>
          </cell>
          <cell r="F945" t="str">
            <v>Sydney</v>
          </cell>
          <cell r="G945" t="str">
            <v>NSW</v>
          </cell>
          <cell r="H945" t="str">
            <v>Consumer</v>
          </cell>
          <cell r="I945" t="str">
            <v>Mihael Khan</v>
          </cell>
          <cell r="J945" t="str">
            <v>Low</v>
          </cell>
          <cell r="K945" t="str">
            <v>Smiths Paper Clips</v>
          </cell>
          <cell r="L945" t="str">
            <v>Office Supplies</v>
          </cell>
          <cell r="M945" t="str">
            <v>Wrap Bag</v>
          </cell>
          <cell r="N945" t="str">
            <v>Express Air</v>
          </cell>
          <cell r="O945">
            <v>42658</v>
          </cell>
          <cell r="P945">
            <v>1.53</v>
          </cell>
          <cell r="Q945">
            <v>2.4700000000000002</v>
          </cell>
          <cell r="R945">
            <v>0.94000000000000017</v>
          </cell>
          <cell r="S945">
            <v>45</v>
          </cell>
          <cell r="T945">
            <v>111.15</v>
          </cell>
          <cell r="V945">
            <v>7.7805000000000009</v>
          </cell>
          <cell r="W945">
            <v>103.3695</v>
          </cell>
          <cell r="X945">
            <v>1.02</v>
          </cell>
          <cell r="Y945">
            <v>104.3895</v>
          </cell>
        </row>
        <row r="946">
          <cell r="A946" t="str">
            <v>6437-2</v>
          </cell>
          <cell r="B946">
            <v>42658</v>
          </cell>
          <cell r="C946" t="str">
            <v>2016</v>
          </cell>
          <cell r="D946" t="str">
            <v>Lisa DeCherney</v>
          </cell>
          <cell r="E946" t="str">
            <v>324A King St,Newtown</v>
          </cell>
          <cell r="F946" t="str">
            <v>Sydney</v>
          </cell>
          <cell r="G946" t="str">
            <v>NSW</v>
          </cell>
          <cell r="H946" t="str">
            <v>Consumer</v>
          </cell>
          <cell r="I946" t="str">
            <v>Mihael Khan</v>
          </cell>
          <cell r="J946" t="str">
            <v>Low</v>
          </cell>
          <cell r="K946" t="str">
            <v>Wirebound Message Book, 4 per Page</v>
          </cell>
          <cell r="L946" t="str">
            <v>Office Supplies</v>
          </cell>
          <cell r="M946" t="str">
            <v>Wrap Bag</v>
          </cell>
          <cell r="N946" t="str">
            <v>Regular Air</v>
          </cell>
          <cell r="O946">
            <v>42662</v>
          </cell>
          <cell r="P946">
            <v>3.48</v>
          </cell>
          <cell r="Q946">
            <v>5.43</v>
          </cell>
          <cell r="R946">
            <v>1.9499999999999997</v>
          </cell>
          <cell r="S946">
            <v>11</v>
          </cell>
          <cell r="T946">
            <v>59.73</v>
          </cell>
          <cell r="V946">
            <v>0</v>
          </cell>
          <cell r="W946">
            <v>59.73</v>
          </cell>
          <cell r="X946">
            <v>0.95</v>
          </cell>
          <cell r="Y946">
            <v>60.68</v>
          </cell>
        </row>
        <row r="947">
          <cell r="A947" t="str">
            <v>6438-1</v>
          </cell>
          <cell r="B947">
            <v>42659</v>
          </cell>
          <cell r="C947" t="str">
            <v>2016</v>
          </cell>
          <cell r="D947" t="str">
            <v>Odella Nelson</v>
          </cell>
          <cell r="E947" t="str">
            <v>523 King St,Newtown</v>
          </cell>
          <cell r="F947" t="str">
            <v>Sydney</v>
          </cell>
          <cell r="G947" t="str">
            <v>NSW</v>
          </cell>
          <cell r="H947" t="str">
            <v>Small Business</v>
          </cell>
          <cell r="I947" t="str">
            <v>Aanya Zhang</v>
          </cell>
          <cell r="J947" t="str">
            <v>Medium</v>
          </cell>
          <cell r="K947" t="str">
            <v>12 Colored Short Pencils</v>
          </cell>
          <cell r="L947" t="str">
            <v>Office Supplies</v>
          </cell>
          <cell r="M947" t="str">
            <v>Wrap Bag</v>
          </cell>
          <cell r="N947" t="str">
            <v>Regular Air</v>
          </cell>
          <cell r="O947">
            <v>42661</v>
          </cell>
          <cell r="P947">
            <v>1.0900000000000001</v>
          </cell>
          <cell r="Q947">
            <v>2.6</v>
          </cell>
          <cell r="R947">
            <v>1.51</v>
          </cell>
          <cell r="S947">
            <v>12</v>
          </cell>
          <cell r="T947">
            <v>31.200000000000003</v>
          </cell>
          <cell r="V947">
            <v>1.5600000000000003</v>
          </cell>
          <cell r="W947">
            <v>29.640000000000004</v>
          </cell>
          <cell r="X947">
            <v>2.4</v>
          </cell>
          <cell r="Y947">
            <v>32.040000000000006</v>
          </cell>
        </row>
        <row r="948">
          <cell r="A948" t="str">
            <v>6440-1</v>
          </cell>
          <cell r="B948">
            <v>42661</v>
          </cell>
          <cell r="C948" t="str">
            <v>2016</v>
          </cell>
          <cell r="D948" t="str">
            <v>Doug Jacobs</v>
          </cell>
          <cell r="E948" t="str">
            <v>1/160 Anzac Parade,Kensington</v>
          </cell>
          <cell r="F948" t="str">
            <v>Sydney</v>
          </cell>
          <cell r="G948" t="str">
            <v>NSW</v>
          </cell>
          <cell r="H948" t="str">
            <v>Home Office</v>
          </cell>
          <cell r="I948" t="str">
            <v>Natasha Song</v>
          </cell>
          <cell r="J948" t="str">
            <v>Medium</v>
          </cell>
          <cell r="K948" t="str">
            <v>3Max Polarizing Task Lamp with Clamp Arm, Light Gray</v>
          </cell>
          <cell r="L948" t="str">
            <v>Furniture</v>
          </cell>
          <cell r="M948" t="str">
            <v>Large Box</v>
          </cell>
          <cell r="N948" t="str">
            <v>Regular Air</v>
          </cell>
          <cell r="O948">
            <v>42664</v>
          </cell>
          <cell r="P948">
            <v>56.16</v>
          </cell>
          <cell r="Q948">
            <v>136.97999999999999</v>
          </cell>
          <cell r="R948">
            <v>80.819999999999993</v>
          </cell>
          <cell r="S948">
            <v>21</v>
          </cell>
          <cell r="T948">
            <v>2876.58</v>
          </cell>
          <cell r="V948">
            <v>143.82900000000001</v>
          </cell>
          <cell r="W948">
            <v>2732.7509999999997</v>
          </cell>
          <cell r="X948">
            <v>24.49</v>
          </cell>
          <cell r="Y948">
            <v>2757.2409999999995</v>
          </cell>
        </row>
        <row r="949">
          <cell r="A949" t="str">
            <v>6442-1</v>
          </cell>
          <cell r="B949">
            <v>42662</v>
          </cell>
          <cell r="C949" t="str">
            <v>2016</v>
          </cell>
          <cell r="D949" t="str">
            <v>Chuck Clark</v>
          </cell>
          <cell r="E949" t="str">
            <v>101 Murray Street</v>
          </cell>
          <cell r="F949" t="str">
            <v>Perth</v>
          </cell>
          <cell r="G949" t="str">
            <v>WA</v>
          </cell>
          <cell r="H949" t="str">
            <v>Corporate</v>
          </cell>
          <cell r="I949" t="str">
            <v>Tina Carlton</v>
          </cell>
          <cell r="J949" t="str">
            <v>Critical</v>
          </cell>
          <cell r="K949" t="str">
            <v>Apex Straight Scissors</v>
          </cell>
          <cell r="L949" t="str">
            <v>Office Supplies</v>
          </cell>
          <cell r="M949" t="str">
            <v>Small Pack</v>
          </cell>
          <cell r="N949" t="str">
            <v>Regular Air</v>
          </cell>
          <cell r="O949">
            <v>42664</v>
          </cell>
          <cell r="P949">
            <v>5.19</v>
          </cell>
          <cell r="Q949">
            <v>12.98</v>
          </cell>
          <cell r="R949">
            <v>7.79</v>
          </cell>
          <cell r="S949">
            <v>49</v>
          </cell>
          <cell r="T949">
            <v>636.02</v>
          </cell>
          <cell r="V949">
            <v>57.241799999999998</v>
          </cell>
          <cell r="W949">
            <v>578.77819999999997</v>
          </cell>
          <cell r="X949">
            <v>3.14</v>
          </cell>
          <cell r="Y949">
            <v>581.91819999999996</v>
          </cell>
        </row>
        <row r="950">
          <cell r="A950" t="str">
            <v>6443-1</v>
          </cell>
          <cell r="B950">
            <v>42663</v>
          </cell>
          <cell r="C950" t="str">
            <v>2016</v>
          </cell>
          <cell r="D950" t="str">
            <v>Edward Nazzal</v>
          </cell>
          <cell r="E950" t="str">
            <v>2a/285A Crown St,Surry Hills</v>
          </cell>
          <cell r="F950" t="str">
            <v>Sydney</v>
          </cell>
          <cell r="G950" t="str">
            <v>NSW</v>
          </cell>
          <cell r="H950" t="str">
            <v>Home Office</v>
          </cell>
          <cell r="I950" t="str">
            <v>Phoebe Gour</v>
          </cell>
          <cell r="J950" t="str">
            <v>Not Specified</v>
          </cell>
          <cell r="K950" t="str">
            <v>Artisan Poly Binder Pockets</v>
          </cell>
          <cell r="L950" t="str">
            <v>Office Supplies</v>
          </cell>
          <cell r="M950" t="str">
            <v>Small Box</v>
          </cell>
          <cell r="N950" t="str">
            <v>Regular Air</v>
          </cell>
          <cell r="O950">
            <v>42663</v>
          </cell>
          <cell r="P950">
            <v>2.2599999999999998</v>
          </cell>
          <cell r="Q950">
            <v>3.58</v>
          </cell>
          <cell r="R950">
            <v>1.3200000000000003</v>
          </cell>
          <cell r="S950">
            <v>34</v>
          </cell>
          <cell r="T950">
            <v>121.72</v>
          </cell>
          <cell r="V950">
            <v>8.5204000000000004</v>
          </cell>
          <cell r="W950">
            <v>113.1996</v>
          </cell>
          <cell r="X950">
            <v>5.47</v>
          </cell>
          <cell r="Y950">
            <v>118.6696</v>
          </cell>
        </row>
        <row r="951">
          <cell r="A951" t="str">
            <v>6445-1</v>
          </cell>
          <cell r="B951">
            <v>42665</v>
          </cell>
          <cell r="C951" t="str">
            <v>2016</v>
          </cell>
          <cell r="D951" t="str">
            <v>Todd Boyes</v>
          </cell>
          <cell r="E951" t="str">
            <v>Westfield Miranda, 600 Kingsway,Miranda</v>
          </cell>
          <cell r="F951" t="str">
            <v>Sydney</v>
          </cell>
          <cell r="G951" t="str">
            <v>NSW</v>
          </cell>
          <cell r="H951" t="str">
            <v>Small Business</v>
          </cell>
          <cell r="I951" t="str">
            <v>Preston Senome</v>
          </cell>
          <cell r="J951" t="str">
            <v>Not Specified</v>
          </cell>
          <cell r="K951" t="str">
            <v>Artisan 479 Labels</v>
          </cell>
          <cell r="L951" t="str">
            <v>Office Supplies</v>
          </cell>
          <cell r="M951" t="str">
            <v>Small Box</v>
          </cell>
          <cell r="N951" t="str">
            <v>Regular Air</v>
          </cell>
          <cell r="O951">
            <v>42667</v>
          </cell>
          <cell r="P951">
            <v>1.59</v>
          </cell>
          <cell r="Q951">
            <v>2.61</v>
          </cell>
          <cell r="R951">
            <v>1.0199999999999998</v>
          </cell>
          <cell r="S951">
            <v>44</v>
          </cell>
          <cell r="T951">
            <v>114.83999999999999</v>
          </cell>
          <cell r="V951">
            <v>8.0388000000000002</v>
          </cell>
          <cell r="W951">
            <v>106.80119999999999</v>
          </cell>
          <cell r="X951">
            <v>0.5</v>
          </cell>
          <cell r="Y951">
            <v>107.30119999999999</v>
          </cell>
        </row>
        <row r="952">
          <cell r="A952" t="str">
            <v>6447-1</v>
          </cell>
          <cell r="B952">
            <v>42666</v>
          </cell>
          <cell r="C952" t="str">
            <v>2016</v>
          </cell>
          <cell r="D952" t="str">
            <v>Nicole Brennan</v>
          </cell>
          <cell r="E952" t="str">
            <v>310 Wattle St,Ultimo</v>
          </cell>
          <cell r="F952" t="str">
            <v>Sydney</v>
          </cell>
          <cell r="G952" t="str">
            <v>NSW</v>
          </cell>
          <cell r="H952" t="str">
            <v>Consumer</v>
          </cell>
          <cell r="I952" t="str">
            <v>Aanya Zhang</v>
          </cell>
          <cell r="J952" t="str">
            <v>Critical</v>
          </cell>
          <cell r="K952" t="str">
            <v>1726 Digital Answering Machine</v>
          </cell>
          <cell r="L952" t="str">
            <v>Technology</v>
          </cell>
          <cell r="M952" t="str">
            <v>Medium Box</v>
          </cell>
          <cell r="N952" t="str">
            <v>Regular Air</v>
          </cell>
          <cell r="O952">
            <v>42668</v>
          </cell>
          <cell r="P952">
            <v>8.82</v>
          </cell>
          <cell r="Q952">
            <v>20.99</v>
          </cell>
          <cell r="R952">
            <v>12.169999999999998</v>
          </cell>
          <cell r="S952">
            <v>17</v>
          </cell>
          <cell r="T952">
            <v>356.83</v>
          </cell>
          <cell r="V952">
            <v>0</v>
          </cell>
          <cell r="W952">
            <v>356.83</v>
          </cell>
          <cell r="X952">
            <v>4.8099999999999996</v>
          </cell>
          <cell r="Y952">
            <v>361.64</v>
          </cell>
        </row>
        <row r="953">
          <cell r="A953" t="str">
            <v>6449-1</v>
          </cell>
          <cell r="B953">
            <v>42666</v>
          </cell>
          <cell r="C953" t="str">
            <v>2016</v>
          </cell>
          <cell r="D953" t="str">
            <v>Sean ODonnell</v>
          </cell>
          <cell r="E953" t="str">
            <v>541 Church St ,Richmond</v>
          </cell>
          <cell r="F953" t="str">
            <v>Melbourne</v>
          </cell>
          <cell r="G953" t="str">
            <v>VIC</v>
          </cell>
          <cell r="H953" t="str">
            <v>Corporate</v>
          </cell>
          <cell r="I953" t="str">
            <v>Yvette Biti</v>
          </cell>
          <cell r="J953" t="str">
            <v>Low</v>
          </cell>
          <cell r="K953" t="str">
            <v>3Max Polarizing Task Lamp with Clamp Arm, Light Gray</v>
          </cell>
          <cell r="L953" t="str">
            <v>Furniture</v>
          </cell>
          <cell r="M953" t="str">
            <v>Large Box</v>
          </cell>
          <cell r="N953" t="str">
            <v>Regular Air</v>
          </cell>
          <cell r="O953">
            <v>42673</v>
          </cell>
          <cell r="P953">
            <v>56.16</v>
          </cell>
          <cell r="Q953">
            <v>136.97999999999999</v>
          </cell>
          <cell r="R953">
            <v>80.819999999999993</v>
          </cell>
          <cell r="S953">
            <v>3</v>
          </cell>
          <cell r="T953">
            <v>410.93999999999994</v>
          </cell>
          <cell r="V953">
            <v>41.093999999999994</v>
          </cell>
          <cell r="W953">
            <v>369.84599999999995</v>
          </cell>
          <cell r="X953">
            <v>24.49</v>
          </cell>
          <cell r="Y953">
            <v>394.33599999999996</v>
          </cell>
        </row>
        <row r="954">
          <cell r="A954" t="str">
            <v>6451-1</v>
          </cell>
          <cell r="B954">
            <v>42666</v>
          </cell>
          <cell r="C954" t="str">
            <v>2016</v>
          </cell>
          <cell r="D954" t="str">
            <v>Patrick Bzostek</v>
          </cell>
          <cell r="E954" t="str">
            <v>1/50-58 Hunter St,Sydney</v>
          </cell>
          <cell r="F954" t="str">
            <v>Sydney</v>
          </cell>
          <cell r="G954" t="str">
            <v>NSW</v>
          </cell>
          <cell r="H954" t="str">
            <v>Consumer</v>
          </cell>
          <cell r="I954" t="str">
            <v>Preston Senome</v>
          </cell>
          <cell r="J954" t="str">
            <v>Medium</v>
          </cell>
          <cell r="K954" t="str">
            <v>Artisan Durable Binders</v>
          </cell>
          <cell r="L954" t="str">
            <v>Office Supplies</v>
          </cell>
          <cell r="M954" t="str">
            <v>Small Box</v>
          </cell>
          <cell r="N954" t="str">
            <v>Regular Air</v>
          </cell>
          <cell r="O954">
            <v>42668</v>
          </cell>
          <cell r="P954">
            <v>1.84</v>
          </cell>
          <cell r="Q954">
            <v>2.88</v>
          </cell>
          <cell r="R954">
            <v>1.0399999999999998</v>
          </cell>
          <cell r="S954">
            <v>32</v>
          </cell>
          <cell r="T954">
            <v>92.16</v>
          </cell>
          <cell r="V954">
            <v>0.92159999999999997</v>
          </cell>
          <cell r="W954">
            <v>91.238399999999999</v>
          </cell>
          <cell r="X954">
            <v>1.49</v>
          </cell>
          <cell r="Y954">
            <v>92.728399999999993</v>
          </cell>
        </row>
        <row r="955">
          <cell r="A955" t="str">
            <v>6453-1</v>
          </cell>
          <cell r="B955">
            <v>42668</v>
          </cell>
          <cell r="C955" t="str">
            <v>2016</v>
          </cell>
          <cell r="D955" t="str">
            <v>Tanja Norvell</v>
          </cell>
          <cell r="E955" t="str">
            <v>541 Church St,Richmond</v>
          </cell>
          <cell r="F955" t="str">
            <v>Melbourne</v>
          </cell>
          <cell r="G955" t="str">
            <v>VIC</v>
          </cell>
          <cell r="H955" t="str">
            <v>Corporate</v>
          </cell>
          <cell r="I955" t="str">
            <v>Yvette Biti</v>
          </cell>
          <cell r="J955" t="str">
            <v>Critical</v>
          </cell>
          <cell r="K955" t="str">
            <v>Artisan 479 Labels</v>
          </cell>
          <cell r="L955" t="str">
            <v>Office Supplies</v>
          </cell>
          <cell r="M955" t="str">
            <v>Small Box</v>
          </cell>
          <cell r="N955" t="str">
            <v>Express Air</v>
          </cell>
          <cell r="O955">
            <v>42670</v>
          </cell>
          <cell r="P955">
            <v>1.59</v>
          </cell>
          <cell r="Q955">
            <v>2.61</v>
          </cell>
          <cell r="R955">
            <v>1.0199999999999998</v>
          </cell>
          <cell r="S955">
            <v>25</v>
          </cell>
          <cell r="T955">
            <v>65.25</v>
          </cell>
          <cell r="V955">
            <v>2.61</v>
          </cell>
          <cell r="W955">
            <v>62.64</v>
          </cell>
          <cell r="X955">
            <v>0.5</v>
          </cell>
          <cell r="Y955">
            <v>63.14</v>
          </cell>
        </row>
        <row r="956">
          <cell r="A956" t="str">
            <v>6455-1</v>
          </cell>
          <cell r="B956">
            <v>42668</v>
          </cell>
          <cell r="C956" t="str">
            <v>2016</v>
          </cell>
          <cell r="D956" t="str">
            <v>Caroline Jumper</v>
          </cell>
          <cell r="E956" t="str">
            <v>145 Ramsay St,Haberfield</v>
          </cell>
          <cell r="F956" t="str">
            <v>Sydney</v>
          </cell>
          <cell r="G956" t="str">
            <v>NSW</v>
          </cell>
          <cell r="H956" t="str">
            <v>Corporate</v>
          </cell>
          <cell r="I956" t="str">
            <v>Phoebe Gour</v>
          </cell>
          <cell r="J956" t="str">
            <v>High</v>
          </cell>
          <cell r="K956" t="str">
            <v>Steady EarthWrite Recycled Pencils, Medium Soft, #2</v>
          </cell>
          <cell r="L956" t="str">
            <v>Office Supplies</v>
          </cell>
          <cell r="M956" t="str">
            <v>Wrap Bag</v>
          </cell>
          <cell r="N956" t="str">
            <v>Regular Air</v>
          </cell>
          <cell r="O956">
            <v>42670</v>
          </cell>
          <cell r="P956">
            <v>0.9</v>
          </cell>
          <cell r="Q956">
            <v>2.1</v>
          </cell>
          <cell r="R956">
            <v>1.2000000000000002</v>
          </cell>
          <cell r="S956">
            <v>33</v>
          </cell>
          <cell r="T956">
            <v>69.3</v>
          </cell>
          <cell r="V956">
            <v>3.4649999999999999</v>
          </cell>
          <cell r="W956">
            <v>65.834999999999994</v>
          </cell>
          <cell r="X956">
            <v>0.7</v>
          </cell>
          <cell r="Y956">
            <v>66.534999999999997</v>
          </cell>
        </row>
        <row r="957">
          <cell r="A957" t="str">
            <v>6457-1</v>
          </cell>
          <cell r="B957">
            <v>42670</v>
          </cell>
          <cell r="C957" t="str">
            <v>2016</v>
          </cell>
          <cell r="D957" t="str">
            <v>Patrick Jones</v>
          </cell>
          <cell r="E957" t="str">
            <v>221 Barkly St,St Kilda</v>
          </cell>
          <cell r="F957" t="str">
            <v>Melbourne</v>
          </cell>
          <cell r="G957" t="str">
            <v>VIC</v>
          </cell>
          <cell r="H957" t="str">
            <v>Home Office</v>
          </cell>
          <cell r="I957" t="str">
            <v>Yvette Biti</v>
          </cell>
          <cell r="J957" t="str">
            <v>Medium</v>
          </cell>
          <cell r="K957" t="str">
            <v>UGen Ultra Cordless Optical Suite</v>
          </cell>
          <cell r="L957" t="str">
            <v>Technology</v>
          </cell>
          <cell r="M957" t="str">
            <v>Small Box</v>
          </cell>
          <cell r="N957" t="str">
            <v>Regular Air</v>
          </cell>
          <cell r="O957">
            <v>42671</v>
          </cell>
          <cell r="P957">
            <v>54.52</v>
          </cell>
          <cell r="Q957">
            <v>100.97</v>
          </cell>
          <cell r="R957">
            <v>46.449999999999996</v>
          </cell>
          <cell r="S957">
            <v>29</v>
          </cell>
          <cell r="T957">
            <v>2928.13</v>
          </cell>
          <cell r="V957">
            <v>146.40650000000002</v>
          </cell>
          <cell r="W957">
            <v>2781.7235000000001</v>
          </cell>
          <cell r="X957">
            <v>7.18</v>
          </cell>
          <cell r="Y957">
            <v>2788.9034999999999</v>
          </cell>
        </row>
        <row r="958">
          <cell r="A958" t="str">
            <v>6457-2</v>
          </cell>
          <cell r="B958">
            <v>42670</v>
          </cell>
          <cell r="C958" t="str">
            <v>2016</v>
          </cell>
          <cell r="D958" t="str">
            <v>Patrick Jones</v>
          </cell>
          <cell r="E958" t="str">
            <v>221 Barkly St,St Kilda</v>
          </cell>
          <cell r="F958" t="str">
            <v>Melbourne</v>
          </cell>
          <cell r="G958" t="str">
            <v>VIC</v>
          </cell>
          <cell r="H958" t="str">
            <v>Home Office</v>
          </cell>
          <cell r="I958" t="str">
            <v>Yvette Biti</v>
          </cell>
          <cell r="J958" t="str">
            <v>Medium</v>
          </cell>
          <cell r="K958" t="str">
            <v>Unpadded Memo Slips</v>
          </cell>
          <cell r="L958" t="str">
            <v>Office Supplies</v>
          </cell>
          <cell r="M958" t="str">
            <v>Wrap Bag</v>
          </cell>
          <cell r="N958" t="str">
            <v>Regular Air</v>
          </cell>
          <cell r="O958">
            <v>42670</v>
          </cell>
          <cell r="P958">
            <v>2.59</v>
          </cell>
          <cell r="Q958">
            <v>3.98</v>
          </cell>
          <cell r="R958">
            <v>1.3900000000000001</v>
          </cell>
          <cell r="S958">
            <v>4</v>
          </cell>
          <cell r="T958">
            <v>15.92</v>
          </cell>
          <cell r="V958">
            <v>1.4327999999999999</v>
          </cell>
          <cell r="W958">
            <v>14.4872</v>
          </cell>
          <cell r="X958">
            <v>2.97</v>
          </cell>
          <cell r="Y958">
            <v>17.4572</v>
          </cell>
        </row>
        <row r="959">
          <cell r="A959" t="str">
            <v>6460-1</v>
          </cell>
          <cell r="B959">
            <v>42671</v>
          </cell>
          <cell r="C959" t="str">
            <v>2016</v>
          </cell>
          <cell r="D959" t="str">
            <v>Joni Sundaresam</v>
          </cell>
          <cell r="E959" t="str">
            <v>8 Rankins Lane ,Melbourne</v>
          </cell>
          <cell r="F959" t="str">
            <v>Melbourne</v>
          </cell>
          <cell r="G959" t="str">
            <v>VIC</v>
          </cell>
          <cell r="H959" t="str">
            <v>Home Office</v>
          </cell>
          <cell r="I959" t="str">
            <v>Connor Betts</v>
          </cell>
          <cell r="J959" t="str">
            <v>Low</v>
          </cell>
          <cell r="K959" t="str">
            <v>Beekin 6 Outlet Metallic Surge Strip</v>
          </cell>
          <cell r="L959" t="str">
            <v>Office Supplies</v>
          </cell>
          <cell r="M959" t="str">
            <v>Small Box</v>
          </cell>
          <cell r="N959" t="str">
            <v>Express Air</v>
          </cell>
          <cell r="O959">
            <v>42680</v>
          </cell>
          <cell r="P959">
            <v>4.46</v>
          </cell>
          <cell r="Q959">
            <v>10.89</v>
          </cell>
          <cell r="R959">
            <v>6.4300000000000006</v>
          </cell>
          <cell r="S959">
            <v>30</v>
          </cell>
          <cell r="T959">
            <v>326.70000000000005</v>
          </cell>
          <cell r="V959">
            <v>26.136000000000003</v>
          </cell>
          <cell r="W959">
            <v>300.56400000000002</v>
          </cell>
          <cell r="X959">
            <v>4.5</v>
          </cell>
          <cell r="Y959">
            <v>305.06400000000002</v>
          </cell>
        </row>
        <row r="960">
          <cell r="A960" t="str">
            <v>6461-1</v>
          </cell>
          <cell r="B960">
            <v>42671</v>
          </cell>
          <cell r="C960" t="str">
            <v>2016</v>
          </cell>
          <cell r="D960" t="str">
            <v>Logan Haushalter</v>
          </cell>
          <cell r="E960" t="str">
            <v>222 Barkly St,St Kilda</v>
          </cell>
          <cell r="F960" t="str">
            <v>Melbourne</v>
          </cell>
          <cell r="G960" t="str">
            <v>VIC</v>
          </cell>
          <cell r="H960" t="str">
            <v>Corporate</v>
          </cell>
          <cell r="I960" t="str">
            <v>Yvette Biti</v>
          </cell>
          <cell r="J960" t="str">
            <v>Critical</v>
          </cell>
          <cell r="K960" t="str">
            <v>Self-Adhesive Removable Labels</v>
          </cell>
          <cell r="L960" t="str">
            <v>Office Supplies</v>
          </cell>
          <cell r="M960" t="str">
            <v>Small Box</v>
          </cell>
          <cell r="N960" t="str">
            <v>Regular Air</v>
          </cell>
          <cell r="O960">
            <v>42673</v>
          </cell>
          <cell r="P960">
            <v>1.98</v>
          </cell>
          <cell r="Q960">
            <v>3.15</v>
          </cell>
          <cell r="R960">
            <v>1.17</v>
          </cell>
          <cell r="S960">
            <v>24</v>
          </cell>
          <cell r="T960">
            <v>75.599999999999994</v>
          </cell>
          <cell r="V960">
            <v>1.512</v>
          </cell>
          <cell r="W960">
            <v>74.087999999999994</v>
          </cell>
          <cell r="X960">
            <v>0.49</v>
          </cell>
          <cell r="Y960">
            <v>74.577999999999989</v>
          </cell>
        </row>
        <row r="961">
          <cell r="A961" t="str">
            <v>6463-1</v>
          </cell>
          <cell r="B961">
            <v>42672</v>
          </cell>
          <cell r="C961" t="str">
            <v>2016</v>
          </cell>
          <cell r="D961" t="str">
            <v>Pierre Wener</v>
          </cell>
          <cell r="E961" t="str">
            <v>531 King St,Newtown</v>
          </cell>
          <cell r="F961" t="str">
            <v>Sydney</v>
          </cell>
          <cell r="G961" t="str">
            <v>NSW</v>
          </cell>
          <cell r="H961" t="str">
            <v>Home Office</v>
          </cell>
          <cell r="I961" t="str">
            <v>Mihael Khan</v>
          </cell>
          <cell r="J961" t="str">
            <v>Critical</v>
          </cell>
          <cell r="K961" t="str">
            <v>Beekin 105-Key Black Keyboard</v>
          </cell>
          <cell r="L961" t="str">
            <v>Technology</v>
          </cell>
          <cell r="M961" t="str">
            <v>Small Box</v>
          </cell>
          <cell r="N961" t="str">
            <v>Regular Air</v>
          </cell>
          <cell r="O961">
            <v>42673</v>
          </cell>
          <cell r="P961">
            <v>6.39</v>
          </cell>
          <cell r="Q961">
            <v>19.98</v>
          </cell>
          <cell r="R961">
            <v>13.59</v>
          </cell>
          <cell r="S961">
            <v>9</v>
          </cell>
          <cell r="T961">
            <v>179.82</v>
          </cell>
          <cell r="V961">
            <v>16.183799999999998</v>
          </cell>
          <cell r="W961">
            <v>163.6362</v>
          </cell>
          <cell r="X961">
            <v>4</v>
          </cell>
          <cell r="Y961">
            <v>167.6362</v>
          </cell>
        </row>
        <row r="962">
          <cell r="A962" t="str">
            <v>6465-1</v>
          </cell>
          <cell r="B962">
            <v>42674</v>
          </cell>
          <cell r="C962" t="str">
            <v>2016</v>
          </cell>
          <cell r="D962" t="str">
            <v>Rick Wilson</v>
          </cell>
          <cell r="E962" t="str">
            <v>81 MacLeay St,Potts Point</v>
          </cell>
          <cell r="F962" t="str">
            <v>Sydney</v>
          </cell>
          <cell r="G962" t="str">
            <v>NSW</v>
          </cell>
          <cell r="H962" t="str">
            <v>Corporate</v>
          </cell>
          <cell r="I962" t="str">
            <v>Samantha Chairs</v>
          </cell>
          <cell r="J962" t="str">
            <v>Medium</v>
          </cell>
          <cell r="K962" t="str">
            <v>210 Trimline Phone, White</v>
          </cell>
          <cell r="L962" t="str">
            <v>Technology</v>
          </cell>
          <cell r="M962" t="str">
            <v>Medium Box</v>
          </cell>
          <cell r="N962" t="str">
            <v>Regular Air</v>
          </cell>
          <cell r="O962">
            <v>42674</v>
          </cell>
          <cell r="P962">
            <v>9.91</v>
          </cell>
          <cell r="Q962">
            <v>15.99</v>
          </cell>
          <cell r="R962">
            <v>6.08</v>
          </cell>
          <cell r="S962">
            <v>33</v>
          </cell>
          <cell r="T962">
            <v>527.66999999999996</v>
          </cell>
          <cell r="V962">
            <v>5.2766999999999999</v>
          </cell>
          <cell r="W962">
            <v>522.39329999999995</v>
          </cell>
          <cell r="X962">
            <v>11.28</v>
          </cell>
          <cell r="Y962">
            <v>533.67329999999993</v>
          </cell>
        </row>
        <row r="963">
          <cell r="A963" t="str">
            <v>6467-1</v>
          </cell>
          <cell r="B963">
            <v>42674</v>
          </cell>
          <cell r="C963" t="str">
            <v>2016</v>
          </cell>
          <cell r="D963" t="str">
            <v>Roy Phan</v>
          </cell>
          <cell r="E963" t="str">
            <v>506 Swan Street,Richmond</v>
          </cell>
          <cell r="F963" t="str">
            <v>Melbourne</v>
          </cell>
          <cell r="G963" t="str">
            <v>VIC</v>
          </cell>
          <cell r="H963" t="str">
            <v>Corporate</v>
          </cell>
          <cell r="I963" t="str">
            <v>Connor Betts</v>
          </cell>
          <cell r="J963" t="str">
            <v>Medium</v>
          </cell>
          <cell r="K963" t="str">
            <v>Artisan Hanging File Binders</v>
          </cell>
          <cell r="L963" t="str">
            <v>Office Supplies</v>
          </cell>
          <cell r="M963" t="str">
            <v>Small Box</v>
          </cell>
          <cell r="N963" t="str">
            <v>Regular Air</v>
          </cell>
          <cell r="O963">
            <v>42675</v>
          </cell>
          <cell r="P963">
            <v>3.65</v>
          </cell>
          <cell r="Q963">
            <v>5.98</v>
          </cell>
          <cell r="R963">
            <v>2.3300000000000005</v>
          </cell>
          <cell r="S963">
            <v>23</v>
          </cell>
          <cell r="T963">
            <v>137.54000000000002</v>
          </cell>
          <cell r="V963">
            <v>1.3754000000000002</v>
          </cell>
          <cell r="W963">
            <v>136.16460000000001</v>
          </cell>
          <cell r="X963">
            <v>1.49</v>
          </cell>
          <cell r="Y963">
            <v>137.65460000000002</v>
          </cell>
        </row>
        <row r="964">
          <cell r="A964" t="str">
            <v>6469-1</v>
          </cell>
          <cell r="B964">
            <v>42674</v>
          </cell>
          <cell r="C964" t="str">
            <v>2016</v>
          </cell>
          <cell r="D964" t="str">
            <v>George Zrebassa</v>
          </cell>
          <cell r="E964" t="str">
            <v>81 MacLeay St,Potts Point</v>
          </cell>
          <cell r="F964" t="str">
            <v>Sydney</v>
          </cell>
          <cell r="G964" t="str">
            <v>NSW</v>
          </cell>
          <cell r="H964" t="str">
            <v>Home Office</v>
          </cell>
          <cell r="I964" t="str">
            <v>Samantha Chairs</v>
          </cell>
          <cell r="J964" t="str">
            <v>Not Specified</v>
          </cell>
          <cell r="K964" t="str">
            <v>Binder Posts</v>
          </cell>
          <cell r="L964" t="str">
            <v>Office Supplies</v>
          </cell>
          <cell r="M964" t="str">
            <v>Small Box</v>
          </cell>
          <cell r="N964" t="str">
            <v>Regular Air</v>
          </cell>
          <cell r="O964">
            <v>42677</v>
          </cell>
          <cell r="P964">
            <v>3.5</v>
          </cell>
          <cell r="Q964">
            <v>5.74</v>
          </cell>
          <cell r="R964">
            <v>2.2400000000000002</v>
          </cell>
          <cell r="S964">
            <v>48</v>
          </cell>
          <cell r="T964">
            <v>275.52</v>
          </cell>
          <cell r="V964">
            <v>13.776</v>
          </cell>
          <cell r="W964">
            <v>261.74399999999997</v>
          </cell>
          <cell r="X964">
            <v>5.01</v>
          </cell>
          <cell r="Y964">
            <v>266.75399999999996</v>
          </cell>
        </row>
        <row r="965">
          <cell r="A965" t="str">
            <v>6471-1</v>
          </cell>
          <cell r="B965">
            <v>42676</v>
          </cell>
          <cell r="C965" t="str">
            <v>2016</v>
          </cell>
          <cell r="D965" t="str">
            <v>Liz Carlisle</v>
          </cell>
          <cell r="E965" t="str">
            <v>797 Botany Rd,Rosebery</v>
          </cell>
          <cell r="F965" t="str">
            <v>Sydney</v>
          </cell>
          <cell r="G965" t="str">
            <v>NSW</v>
          </cell>
          <cell r="H965" t="str">
            <v>Corporate</v>
          </cell>
          <cell r="I965" t="str">
            <v>Phoebe Gour</v>
          </cell>
          <cell r="J965" t="str">
            <v>Critical</v>
          </cell>
          <cell r="K965" t="str">
            <v>Adesso Programmable 142-Key Keyboard</v>
          </cell>
          <cell r="L965" t="str">
            <v>Technology</v>
          </cell>
          <cell r="M965" t="str">
            <v>Small Box</v>
          </cell>
          <cell r="N965" t="str">
            <v>Regular Air</v>
          </cell>
          <cell r="O965">
            <v>42677</v>
          </cell>
          <cell r="P965">
            <v>39.64</v>
          </cell>
          <cell r="Q965">
            <v>152.47999999999999</v>
          </cell>
          <cell r="R965">
            <v>112.83999999999999</v>
          </cell>
          <cell r="S965">
            <v>44</v>
          </cell>
          <cell r="T965">
            <v>6709.12</v>
          </cell>
          <cell r="V965">
            <v>201.27359999999999</v>
          </cell>
          <cell r="W965">
            <v>6507.8464000000004</v>
          </cell>
          <cell r="X965">
            <v>6.5</v>
          </cell>
          <cell r="Y965">
            <v>6514.3464000000004</v>
          </cell>
        </row>
        <row r="966">
          <cell r="A966" t="str">
            <v>6472-1</v>
          </cell>
          <cell r="B966">
            <v>42676</v>
          </cell>
          <cell r="C966" t="str">
            <v>2016</v>
          </cell>
          <cell r="D966" t="str">
            <v>Cassandra Brandow</v>
          </cell>
          <cell r="E966" t="str">
            <v>106 Ebley Street,Bondi Junction</v>
          </cell>
          <cell r="F966" t="str">
            <v>Sydney</v>
          </cell>
          <cell r="G966" t="str">
            <v>NSW</v>
          </cell>
          <cell r="H966" t="str">
            <v>Home Office</v>
          </cell>
          <cell r="I966" t="str">
            <v>Leighton Forrest</v>
          </cell>
          <cell r="J966" t="str">
            <v>Not Specified</v>
          </cell>
          <cell r="K966" t="str">
            <v>Apex Preferred Stainless Steel Scissors</v>
          </cell>
          <cell r="L966" t="str">
            <v>Office Supplies</v>
          </cell>
          <cell r="M966" t="str">
            <v>Small Pack</v>
          </cell>
          <cell r="N966" t="str">
            <v>Regular Air</v>
          </cell>
          <cell r="O966">
            <v>42677</v>
          </cell>
          <cell r="P966">
            <v>2.5</v>
          </cell>
          <cell r="Q966">
            <v>5.68</v>
          </cell>
          <cell r="R966">
            <v>3.1799999999999997</v>
          </cell>
          <cell r="S966">
            <v>34</v>
          </cell>
          <cell r="T966">
            <v>193.12</v>
          </cell>
          <cell r="V966">
            <v>0</v>
          </cell>
          <cell r="W966">
            <v>193.12</v>
          </cell>
          <cell r="X966">
            <v>3.6</v>
          </cell>
          <cell r="Y966">
            <v>196.72</v>
          </cell>
        </row>
        <row r="967">
          <cell r="A967" t="str">
            <v>6473-1</v>
          </cell>
          <cell r="B967">
            <v>42676</v>
          </cell>
          <cell r="C967" t="str">
            <v>2016</v>
          </cell>
          <cell r="D967" t="str">
            <v>Valerie Mitchum</v>
          </cell>
          <cell r="E967" t="str">
            <v>8/2 Edward Street</v>
          </cell>
          <cell r="F967" t="str">
            <v>Perth</v>
          </cell>
          <cell r="G967" t="str">
            <v>WA</v>
          </cell>
          <cell r="H967" t="str">
            <v>Home Office</v>
          </cell>
          <cell r="I967" t="str">
            <v>Natasha Song</v>
          </cell>
          <cell r="J967" t="str">
            <v>Not Specified</v>
          </cell>
          <cell r="K967" t="str">
            <v>Steady 52201 APSCO Electric Pencil Sharpener</v>
          </cell>
          <cell r="L967" t="str">
            <v>Office Supplies</v>
          </cell>
          <cell r="M967" t="str">
            <v>Small Pack</v>
          </cell>
          <cell r="N967" t="str">
            <v>Regular Air</v>
          </cell>
          <cell r="O967">
            <v>42678</v>
          </cell>
          <cell r="P967">
            <v>16.8</v>
          </cell>
          <cell r="Q967">
            <v>40.97</v>
          </cell>
          <cell r="R967">
            <v>24.169999999999998</v>
          </cell>
          <cell r="S967">
            <v>26</v>
          </cell>
          <cell r="T967">
            <v>1065.22</v>
          </cell>
          <cell r="V967">
            <v>63.913199999999996</v>
          </cell>
          <cell r="W967">
            <v>1001.3068000000001</v>
          </cell>
          <cell r="X967">
            <v>8.99</v>
          </cell>
          <cell r="Y967">
            <v>1010.2968000000001</v>
          </cell>
        </row>
        <row r="968">
          <cell r="A968" t="str">
            <v>6475-1</v>
          </cell>
          <cell r="B968">
            <v>42676</v>
          </cell>
          <cell r="C968" t="str">
            <v>2016</v>
          </cell>
          <cell r="D968" t="str">
            <v>Roland Murray</v>
          </cell>
          <cell r="E968" t="str">
            <v>Westfield 1 Anderson St,Chatswood</v>
          </cell>
          <cell r="F968" t="str">
            <v>Sydney</v>
          </cell>
          <cell r="G968" t="str">
            <v>NSW</v>
          </cell>
          <cell r="H968" t="str">
            <v>Home Office</v>
          </cell>
          <cell r="I968" t="str">
            <v>Nicholas Fernandes</v>
          </cell>
          <cell r="J968" t="str">
            <v>Low</v>
          </cell>
          <cell r="K968" t="str">
            <v>Steady Colorific Colored Pencils, 12/Box</v>
          </cell>
          <cell r="L968" t="str">
            <v>Office Supplies</v>
          </cell>
          <cell r="M968" t="str">
            <v>Wrap Bag</v>
          </cell>
          <cell r="N968" t="str">
            <v>Regular Air</v>
          </cell>
          <cell r="O968">
            <v>42680</v>
          </cell>
          <cell r="P968">
            <v>1.3</v>
          </cell>
          <cell r="Q968">
            <v>2.88</v>
          </cell>
          <cell r="R968">
            <v>1.5799999999999998</v>
          </cell>
          <cell r="S968">
            <v>41</v>
          </cell>
          <cell r="T968">
            <v>118.08</v>
          </cell>
          <cell r="V968">
            <v>11.808</v>
          </cell>
          <cell r="W968">
            <v>106.27199999999999</v>
          </cell>
          <cell r="X968">
            <v>1.01</v>
          </cell>
          <cell r="Y968">
            <v>107.282</v>
          </cell>
        </row>
        <row r="969">
          <cell r="A969" t="str">
            <v>6477-1</v>
          </cell>
          <cell r="B969">
            <v>42677</v>
          </cell>
          <cell r="C969" t="str">
            <v>2016</v>
          </cell>
          <cell r="D969" t="str">
            <v>Sheri Gordon</v>
          </cell>
          <cell r="E969" t="str">
            <v>152 Bunnerong Road,Eastgardens</v>
          </cell>
          <cell r="F969" t="str">
            <v>Sydney</v>
          </cell>
          <cell r="G969" t="str">
            <v>NSW</v>
          </cell>
          <cell r="H969" t="str">
            <v>Corporate</v>
          </cell>
          <cell r="I969" t="str">
            <v>Tina Carlton</v>
          </cell>
          <cell r="J969" t="str">
            <v>Not Specified</v>
          </cell>
          <cell r="K969" t="str">
            <v>Artisan 48 Labels</v>
          </cell>
          <cell r="L969" t="str">
            <v>Office Supplies</v>
          </cell>
          <cell r="M969" t="str">
            <v>Small Box</v>
          </cell>
          <cell r="N969" t="str">
            <v>Regular Air</v>
          </cell>
          <cell r="O969">
            <v>42678</v>
          </cell>
          <cell r="P969">
            <v>3.84</v>
          </cell>
          <cell r="Q969">
            <v>6.3</v>
          </cell>
          <cell r="R969">
            <v>2.46</v>
          </cell>
          <cell r="S969">
            <v>35</v>
          </cell>
          <cell r="T969">
            <v>220.5</v>
          </cell>
          <cell r="V969">
            <v>6.6149999999999993</v>
          </cell>
          <cell r="W969">
            <v>213.88499999999999</v>
          </cell>
          <cell r="X969">
            <v>0.5</v>
          </cell>
          <cell r="Y969">
            <v>214.38499999999999</v>
          </cell>
        </row>
        <row r="970">
          <cell r="A970" t="str">
            <v>6479-1</v>
          </cell>
          <cell r="B970">
            <v>42679</v>
          </cell>
          <cell r="C970" t="str">
            <v>2016</v>
          </cell>
          <cell r="D970" t="str">
            <v>Bill Shonely</v>
          </cell>
          <cell r="E970" t="str">
            <v>18 Robinson Avenue, Perth</v>
          </cell>
          <cell r="F970" t="str">
            <v>Sydney</v>
          </cell>
          <cell r="G970" t="str">
            <v>NSW</v>
          </cell>
          <cell r="H970" t="str">
            <v>Small Business</v>
          </cell>
          <cell r="I970" t="str">
            <v>Natasha Song</v>
          </cell>
          <cell r="J970" t="str">
            <v>Low</v>
          </cell>
          <cell r="K970" t="str">
            <v>Binder Posts</v>
          </cell>
          <cell r="L970" t="str">
            <v>Office Supplies</v>
          </cell>
          <cell r="M970" t="str">
            <v>Small Box</v>
          </cell>
          <cell r="N970" t="str">
            <v>Regular Air</v>
          </cell>
          <cell r="O970">
            <v>42686</v>
          </cell>
          <cell r="P970">
            <v>3.5</v>
          </cell>
          <cell r="Q970">
            <v>5.74</v>
          </cell>
          <cell r="R970">
            <v>2.2400000000000002</v>
          </cell>
          <cell r="S970">
            <v>5</v>
          </cell>
          <cell r="T970">
            <v>28.700000000000003</v>
          </cell>
          <cell r="V970">
            <v>2.0090000000000003</v>
          </cell>
          <cell r="W970">
            <v>26.691000000000003</v>
          </cell>
          <cell r="X970">
            <v>5.01</v>
          </cell>
          <cell r="Y970">
            <v>31.701000000000001</v>
          </cell>
        </row>
        <row r="971">
          <cell r="A971" t="str">
            <v>6480-1</v>
          </cell>
          <cell r="B971">
            <v>42682</v>
          </cell>
          <cell r="C971" t="str">
            <v>2016</v>
          </cell>
          <cell r="D971" t="str">
            <v>Ken Black</v>
          </cell>
          <cell r="E971" t="str">
            <v>Westfield Sydney,Sydney</v>
          </cell>
          <cell r="F971" t="str">
            <v>Sydney</v>
          </cell>
          <cell r="G971" t="str">
            <v>NSW</v>
          </cell>
          <cell r="H971" t="str">
            <v>Consumer</v>
          </cell>
          <cell r="I971" t="str">
            <v>Natasha Song</v>
          </cell>
          <cell r="J971" t="str">
            <v>Low</v>
          </cell>
          <cell r="K971" t="str">
            <v>Alto Perma 2700 Stacking Storage Drawers</v>
          </cell>
          <cell r="L971" t="str">
            <v>Office Supplies</v>
          </cell>
          <cell r="M971" t="str">
            <v>Small Box</v>
          </cell>
          <cell r="N971" t="str">
            <v>Regular Air</v>
          </cell>
          <cell r="O971">
            <v>42687</v>
          </cell>
          <cell r="P971">
            <v>8.92</v>
          </cell>
          <cell r="Q971">
            <v>29.74</v>
          </cell>
          <cell r="R971">
            <v>20.82</v>
          </cell>
          <cell r="S971">
            <v>31</v>
          </cell>
          <cell r="T971">
            <v>921.93999999999994</v>
          </cell>
          <cell r="V971">
            <v>0</v>
          </cell>
          <cell r="W971">
            <v>921.93999999999994</v>
          </cell>
          <cell r="X971">
            <v>6.64</v>
          </cell>
          <cell r="Y971">
            <v>928.57999999999993</v>
          </cell>
        </row>
        <row r="972">
          <cell r="A972" t="str">
            <v>6482-1</v>
          </cell>
          <cell r="B972">
            <v>42682</v>
          </cell>
          <cell r="C972" t="str">
            <v>2016</v>
          </cell>
          <cell r="D972" t="str">
            <v>Carol Triggs</v>
          </cell>
          <cell r="E972" t="str">
            <v>15 Aberdeen Street</v>
          </cell>
          <cell r="F972" t="str">
            <v>Perth</v>
          </cell>
          <cell r="G972" t="str">
            <v>WA</v>
          </cell>
          <cell r="H972" t="str">
            <v>Home Office</v>
          </cell>
          <cell r="I972" t="str">
            <v>Radhya Staples</v>
          </cell>
          <cell r="J972" t="str">
            <v>Low</v>
          </cell>
          <cell r="K972" t="str">
            <v>Creator Anti Dust Chalk, 12/Pack</v>
          </cell>
          <cell r="L972" t="str">
            <v>Office Supplies</v>
          </cell>
          <cell r="M972" t="str">
            <v>Wrap Bag</v>
          </cell>
          <cell r="N972" t="str">
            <v>Regular Air</v>
          </cell>
          <cell r="O972">
            <v>42684</v>
          </cell>
          <cell r="P972">
            <v>1.0900000000000001</v>
          </cell>
          <cell r="Q972">
            <v>1.82</v>
          </cell>
          <cell r="R972">
            <v>0.73</v>
          </cell>
          <cell r="S972">
            <v>40</v>
          </cell>
          <cell r="T972">
            <v>72.8</v>
          </cell>
          <cell r="V972">
            <v>3.64</v>
          </cell>
          <cell r="W972">
            <v>69.16</v>
          </cell>
          <cell r="X972">
            <v>1</v>
          </cell>
          <cell r="Y972">
            <v>70.16</v>
          </cell>
        </row>
        <row r="973">
          <cell r="A973" t="str">
            <v>6483-1</v>
          </cell>
          <cell r="B973">
            <v>42682</v>
          </cell>
          <cell r="C973" t="str">
            <v>2016</v>
          </cell>
          <cell r="D973" t="str">
            <v>Stephanie Ulpright</v>
          </cell>
          <cell r="E973" t="str">
            <v>541 Church St ,Richmond</v>
          </cell>
          <cell r="F973" t="str">
            <v>Melbourne</v>
          </cell>
          <cell r="G973" t="str">
            <v>VIC</v>
          </cell>
          <cell r="H973" t="str">
            <v>Consumer</v>
          </cell>
          <cell r="I973" t="str">
            <v>Yvette Biti</v>
          </cell>
          <cell r="J973" t="str">
            <v>Not Specified</v>
          </cell>
          <cell r="K973" t="str">
            <v>Steady EarthWrite Recycled Pencils, Medium Soft, #2</v>
          </cell>
          <cell r="L973" t="str">
            <v>Office Supplies</v>
          </cell>
          <cell r="M973" t="str">
            <v>Wrap Bag</v>
          </cell>
          <cell r="N973" t="str">
            <v>Regular Air</v>
          </cell>
          <cell r="O973">
            <v>42682</v>
          </cell>
          <cell r="P973">
            <v>0.9</v>
          </cell>
          <cell r="Q973">
            <v>2.1</v>
          </cell>
          <cell r="R973">
            <v>1.2000000000000002</v>
          </cell>
          <cell r="S973">
            <v>27</v>
          </cell>
          <cell r="T973">
            <v>56.7</v>
          </cell>
          <cell r="V973">
            <v>2.2680000000000002</v>
          </cell>
          <cell r="W973">
            <v>54.432000000000002</v>
          </cell>
          <cell r="X973">
            <v>0.7</v>
          </cell>
          <cell r="Y973">
            <v>55.132000000000005</v>
          </cell>
        </row>
        <row r="974">
          <cell r="A974" t="str">
            <v>6484-1</v>
          </cell>
          <cell r="B974">
            <v>42683</v>
          </cell>
          <cell r="C974" t="str">
            <v>2016</v>
          </cell>
          <cell r="D974" t="str">
            <v>Luke Foster</v>
          </cell>
          <cell r="E974" t="str">
            <v>2-4 College Street, Darlinghurst</v>
          </cell>
          <cell r="F974" t="str">
            <v>Sydney</v>
          </cell>
          <cell r="G974" t="str">
            <v>NSW</v>
          </cell>
          <cell r="H974" t="str">
            <v>Corporate</v>
          </cell>
          <cell r="I974" t="str">
            <v>Nicholas Fernandes</v>
          </cell>
          <cell r="J974" t="str">
            <v>High</v>
          </cell>
          <cell r="K974" t="str">
            <v>Office Shears by Apex</v>
          </cell>
          <cell r="L974" t="str">
            <v>Office Supplies</v>
          </cell>
          <cell r="M974" t="str">
            <v>Small Pack</v>
          </cell>
          <cell r="N974" t="str">
            <v>Regular Air</v>
          </cell>
          <cell r="O974">
            <v>42685</v>
          </cell>
          <cell r="P974">
            <v>0.94</v>
          </cell>
          <cell r="Q974">
            <v>2.08</v>
          </cell>
          <cell r="R974">
            <v>1.1400000000000001</v>
          </cell>
          <cell r="S974">
            <v>39</v>
          </cell>
          <cell r="T974">
            <v>81.12</v>
          </cell>
          <cell r="V974">
            <v>3.2448000000000001</v>
          </cell>
          <cell r="W974">
            <v>77.875200000000007</v>
          </cell>
          <cell r="X974">
            <v>2.56</v>
          </cell>
          <cell r="Y974">
            <v>80.435200000000009</v>
          </cell>
        </row>
        <row r="975">
          <cell r="A975" t="str">
            <v>6485-1</v>
          </cell>
          <cell r="B975">
            <v>42684</v>
          </cell>
          <cell r="C975" t="str">
            <v>2016</v>
          </cell>
          <cell r="D975" t="str">
            <v>Cyra Reiten</v>
          </cell>
          <cell r="E975" t="str">
            <v>Westfield 1 Anderson St,Chatswood</v>
          </cell>
          <cell r="F975" t="str">
            <v>Sydney</v>
          </cell>
          <cell r="G975" t="str">
            <v>NSW</v>
          </cell>
          <cell r="H975" t="str">
            <v>Consumer</v>
          </cell>
          <cell r="I975" t="str">
            <v>Nicholas Fernandes</v>
          </cell>
          <cell r="J975" t="str">
            <v>Not Specified</v>
          </cell>
          <cell r="K975" t="str">
            <v>Laser DVD-RAM discs</v>
          </cell>
          <cell r="L975" t="str">
            <v>Technology</v>
          </cell>
          <cell r="M975" t="str">
            <v>Small Pack</v>
          </cell>
          <cell r="N975" t="str">
            <v>Regular Air</v>
          </cell>
          <cell r="O975">
            <v>42686</v>
          </cell>
          <cell r="P975">
            <v>20.18</v>
          </cell>
          <cell r="Q975">
            <v>35.409999999999997</v>
          </cell>
          <cell r="R975">
            <v>15.229999999999997</v>
          </cell>
          <cell r="S975">
            <v>21</v>
          </cell>
          <cell r="T975">
            <v>743.6099999999999</v>
          </cell>
          <cell r="V975">
            <v>66.924899999999994</v>
          </cell>
          <cell r="W975">
            <v>676.68509999999992</v>
          </cell>
          <cell r="X975">
            <v>1.99</v>
          </cell>
          <cell r="Y975">
            <v>678.67509999999993</v>
          </cell>
        </row>
        <row r="976">
          <cell r="A976" t="str">
            <v>6487-1</v>
          </cell>
          <cell r="B976">
            <v>42686</v>
          </cell>
          <cell r="C976" t="str">
            <v>2016</v>
          </cell>
          <cell r="D976" t="str">
            <v>Dan Campbell</v>
          </cell>
          <cell r="E976" t="str">
            <v>1/173-179 Bronte Rd,Waverley</v>
          </cell>
          <cell r="F976" t="str">
            <v>Sydney</v>
          </cell>
          <cell r="G976" t="str">
            <v>NSW</v>
          </cell>
          <cell r="H976" t="str">
            <v>Small Business</v>
          </cell>
          <cell r="I976" t="str">
            <v>Leighton Forrest</v>
          </cell>
          <cell r="J976" t="str">
            <v>Not Specified</v>
          </cell>
          <cell r="K976" t="str">
            <v>Smiths Colored Interoffice Envelopes</v>
          </cell>
          <cell r="L976" t="str">
            <v>Office Supplies</v>
          </cell>
          <cell r="M976" t="str">
            <v>Small Box</v>
          </cell>
          <cell r="N976" t="str">
            <v>Regular Air</v>
          </cell>
          <cell r="O976">
            <v>42686</v>
          </cell>
          <cell r="P976">
            <v>19.829999999999998</v>
          </cell>
          <cell r="Q976">
            <v>30.98</v>
          </cell>
          <cell r="R976">
            <v>11.150000000000002</v>
          </cell>
          <cell r="S976">
            <v>15</v>
          </cell>
          <cell r="T976">
            <v>464.7</v>
          </cell>
          <cell r="V976">
            <v>0</v>
          </cell>
          <cell r="W976">
            <v>464.7</v>
          </cell>
          <cell r="X976">
            <v>19.510000000000002</v>
          </cell>
          <cell r="Y976">
            <v>484.21</v>
          </cell>
        </row>
        <row r="977">
          <cell r="A977" t="str">
            <v>6489-1</v>
          </cell>
          <cell r="B977">
            <v>42687</v>
          </cell>
          <cell r="C977" t="str">
            <v>2016</v>
          </cell>
          <cell r="D977" t="str">
            <v>Ryan Crowe</v>
          </cell>
          <cell r="E977" t="str">
            <v>324A King St,Newtown</v>
          </cell>
          <cell r="F977" t="str">
            <v>Sydney</v>
          </cell>
          <cell r="G977" t="str">
            <v>NSW</v>
          </cell>
          <cell r="H977" t="str">
            <v>Small Business</v>
          </cell>
          <cell r="I977" t="str">
            <v>Mihael Khan</v>
          </cell>
          <cell r="J977" t="str">
            <v>Low</v>
          </cell>
          <cell r="K977" t="str">
            <v>Self-Adhesive Removable Labels</v>
          </cell>
          <cell r="L977" t="str">
            <v>Office Supplies</v>
          </cell>
          <cell r="M977" t="str">
            <v>Small Box</v>
          </cell>
          <cell r="N977" t="str">
            <v>Regular Air</v>
          </cell>
          <cell r="O977">
            <v>42689</v>
          </cell>
          <cell r="P977">
            <v>1.98</v>
          </cell>
          <cell r="Q977">
            <v>3.15</v>
          </cell>
          <cell r="R977">
            <v>1.17</v>
          </cell>
          <cell r="S977">
            <v>41</v>
          </cell>
          <cell r="T977">
            <v>129.15</v>
          </cell>
          <cell r="V977">
            <v>7.7489999999999997</v>
          </cell>
          <cell r="W977">
            <v>121.40100000000001</v>
          </cell>
          <cell r="X977">
            <v>0.49</v>
          </cell>
          <cell r="Y977">
            <v>121.89100000000001</v>
          </cell>
        </row>
        <row r="978">
          <cell r="A978" t="str">
            <v>6491-1</v>
          </cell>
          <cell r="B978">
            <v>42688</v>
          </cell>
          <cell r="C978" t="str">
            <v>2016</v>
          </cell>
          <cell r="D978" t="str">
            <v>Alan Barnes</v>
          </cell>
          <cell r="E978" t="str">
            <v>99 Glebe Point Rd,Glebe</v>
          </cell>
          <cell r="F978" t="str">
            <v>Sydney</v>
          </cell>
          <cell r="G978" t="str">
            <v>NSW</v>
          </cell>
          <cell r="H978" t="str">
            <v>Corporate</v>
          </cell>
          <cell r="I978" t="str">
            <v>Natasha Song</v>
          </cell>
          <cell r="J978" t="str">
            <v>Medium</v>
          </cell>
          <cell r="K978" t="str">
            <v>12 Colored Short Pencils</v>
          </cell>
          <cell r="L978" t="str">
            <v>Office Supplies</v>
          </cell>
          <cell r="M978" t="str">
            <v>Wrap Bag</v>
          </cell>
          <cell r="N978" t="str">
            <v>Regular Air</v>
          </cell>
          <cell r="O978">
            <v>42689</v>
          </cell>
          <cell r="P978">
            <v>1.0900000000000001</v>
          </cell>
          <cell r="Q978">
            <v>2.6</v>
          </cell>
          <cell r="R978">
            <v>1.51</v>
          </cell>
          <cell r="S978">
            <v>11</v>
          </cell>
          <cell r="T978">
            <v>28.6</v>
          </cell>
          <cell r="V978">
            <v>2.5739999999999998</v>
          </cell>
          <cell r="W978">
            <v>26.026000000000003</v>
          </cell>
          <cell r="X978">
            <v>2.4</v>
          </cell>
          <cell r="Y978">
            <v>28.426000000000002</v>
          </cell>
        </row>
        <row r="979">
          <cell r="A979" t="str">
            <v>6493-1</v>
          </cell>
          <cell r="B979">
            <v>42690</v>
          </cell>
          <cell r="C979" t="str">
            <v>2016</v>
          </cell>
          <cell r="D979" t="str">
            <v>Jonathan Doherty</v>
          </cell>
          <cell r="E979" t="str">
            <v>53-55 Liverpool St,Sydney</v>
          </cell>
          <cell r="F979" t="str">
            <v>Sydney</v>
          </cell>
          <cell r="G979" t="str">
            <v>NSW</v>
          </cell>
          <cell r="H979" t="str">
            <v>Corporate</v>
          </cell>
          <cell r="I979" t="str">
            <v>Tina Carlton</v>
          </cell>
          <cell r="J979" t="str">
            <v>High</v>
          </cell>
          <cell r="K979" t="str">
            <v>OIC Colored Binder Clips, Assorted Sizes</v>
          </cell>
          <cell r="L979" t="str">
            <v>Office Supplies</v>
          </cell>
          <cell r="M979" t="str">
            <v>Wrap Bag</v>
          </cell>
          <cell r="N979" t="str">
            <v>Regular Air</v>
          </cell>
          <cell r="O979">
            <v>42690</v>
          </cell>
          <cell r="P979">
            <v>2.29</v>
          </cell>
          <cell r="Q979">
            <v>3.58</v>
          </cell>
          <cell r="R979">
            <v>1.29</v>
          </cell>
          <cell r="S979">
            <v>32</v>
          </cell>
          <cell r="T979">
            <v>114.56</v>
          </cell>
          <cell r="V979">
            <v>10.3104</v>
          </cell>
          <cell r="W979">
            <v>104.2496</v>
          </cell>
          <cell r="X979">
            <v>1.63</v>
          </cell>
          <cell r="Y979">
            <v>105.8796</v>
          </cell>
        </row>
        <row r="980">
          <cell r="A980" t="str">
            <v>6495-1</v>
          </cell>
          <cell r="B980">
            <v>42691</v>
          </cell>
          <cell r="C980" t="str">
            <v>2016</v>
          </cell>
          <cell r="D980" t="str">
            <v>Michael Paige</v>
          </cell>
          <cell r="E980" t="str">
            <v>506 Swan Street,Richmond</v>
          </cell>
          <cell r="F980" t="str">
            <v>Melbourne</v>
          </cell>
          <cell r="G980" t="str">
            <v>VIC</v>
          </cell>
          <cell r="H980" t="str">
            <v>Small Business</v>
          </cell>
          <cell r="I980" t="str">
            <v>Connor Betts</v>
          </cell>
          <cell r="J980" t="str">
            <v>High</v>
          </cell>
          <cell r="K980" t="str">
            <v>Artisan Legal 4-Ring Binder</v>
          </cell>
          <cell r="L980" t="str">
            <v>Office Supplies</v>
          </cell>
          <cell r="M980" t="str">
            <v>Small Box</v>
          </cell>
          <cell r="N980" t="str">
            <v>Regular Air</v>
          </cell>
          <cell r="O980">
            <v>42693</v>
          </cell>
          <cell r="P980">
            <v>13.64</v>
          </cell>
          <cell r="Q980">
            <v>20.98</v>
          </cell>
          <cell r="R980">
            <v>7.34</v>
          </cell>
          <cell r="S980">
            <v>42</v>
          </cell>
          <cell r="T980">
            <v>881.16</v>
          </cell>
          <cell r="V980">
            <v>88.116</v>
          </cell>
          <cell r="W980">
            <v>793.04399999999998</v>
          </cell>
          <cell r="X980">
            <v>1.49</v>
          </cell>
          <cell r="Y980">
            <v>794.53399999999999</v>
          </cell>
        </row>
        <row r="981">
          <cell r="A981" t="str">
            <v>6496-1</v>
          </cell>
          <cell r="B981">
            <v>42691</v>
          </cell>
          <cell r="C981" t="str">
            <v>2016</v>
          </cell>
          <cell r="D981" t="str">
            <v>Saphhira Shifley</v>
          </cell>
          <cell r="E981" t="str">
            <v>Westfield Miranda, 600 Kingsway,Miranda</v>
          </cell>
          <cell r="F981" t="str">
            <v>Sydney</v>
          </cell>
          <cell r="G981" t="str">
            <v>NSW</v>
          </cell>
          <cell r="H981" t="str">
            <v>Corporate</v>
          </cell>
          <cell r="I981" t="str">
            <v>Preston Senome</v>
          </cell>
          <cell r="J981" t="str">
            <v>Medium</v>
          </cell>
          <cell r="K981" t="str">
            <v>Brown Kraft Recycled Envelopes</v>
          </cell>
          <cell r="L981" t="str">
            <v>Office Supplies</v>
          </cell>
          <cell r="M981" t="str">
            <v>Small Box</v>
          </cell>
          <cell r="N981" t="str">
            <v>Regular Air</v>
          </cell>
          <cell r="O981">
            <v>42693</v>
          </cell>
          <cell r="P981">
            <v>11.04</v>
          </cell>
          <cell r="Q981">
            <v>16.98</v>
          </cell>
          <cell r="R981">
            <v>5.9400000000000013</v>
          </cell>
          <cell r="S981">
            <v>46</v>
          </cell>
          <cell r="T981">
            <v>781.08</v>
          </cell>
          <cell r="V981">
            <v>70.297200000000004</v>
          </cell>
          <cell r="W981">
            <v>710.78280000000007</v>
          </cell>
          <cell r="X981">
            <v>12.39</v>
          </cell>
          <cell r="Y981">
            <v>723.17280000000005</v>
          </cell>
        </row>
        <row r="982">
          <cell r="A982" t="str">
            <v>6497-1</v>
          </cell>
          <cell r="B982">
            <v>42694</v>
          </cell>
          <cell r="C982" t="str">
            <v>2016</v>
          </cell>
          <cell r="D982" t="str">
            <v>Tony Sayre</v>
          </cell>
          <cell r="E982" t="str">
            <v>499-501 Lygon Street,Carlton North</v>
          </cell>
          <cell r="F982" t="str">
            <v>Melbourne</v>
          </cell>
          <cell r="G982" t="str">
            <v>VIC</v>
          </cell>
          <cell r="H982" t="str">
            <v>Home Office</v>
          </cell>
          <cell r="I982" t="str">
            <v>Yvette Biti</v>
          </cell>
          <cell r="J982" t="str">
            <v>Critical</v>
          </cell>
          <cell r="K982" t="str">
            <v>Artisan Hi-Liter Comfort Grip Fluorescent Highlighter, Yellow Ink</v>
          </cell>
          <cell r="L982" t="str">
            <v>Office Supplies</v>
          </cell>
          <cell r="M982" t="str">
            <v>Wrap Bag</v>
          </cell>
          <cell r="N982" t="str">
            <v>Regular Air</v>
          </cell>
          <cell r="O982">
            <v>42695</v>
          </cell>
          <cell r="P982">
            <v>1.05</v>
          </cell>
          <cell r="Q982">
            <v>1.95</v>
          </cell>
          <cell r="R982">
            <v>0.89999999999999991</v>
          </cell>
          <cell r="S982">
            <v>20</v>
          </cell>
          <cell r="T982">
            <v>39</v>
          </cell>
          <cell r="V982">
            <v>2.34</v>
          </cell>
          <cell r="W982">
            <v>36.659999999999997</v>
          </cell>
          <cell r="X982">
            <v>1.63</v>
          </cell>
          <cell r="Y982">
            <v>38.29</v>
          </cell>
        </row>
        <row r="983">
          <cell r="A983" t="str">
            <v>6498-1</v>
          </cell>
          <cell r="B983">
            <v>42696</v>
          </cell>
          <cell r="C983" t="str">
            <v>2016</v>
          </cell>
          <cell r="D983" t="str">
            <v>Becky Pak</v>
          </cell>
          <cell r="E983" t="str">
            <v>22 St Georges Terrace, Perth</v>
          </cell>
          <cell r="F983" t="str">
            <v>Sydney</v>
          </cell>
          <cell r="G983" t="str">
            <v>NSW</v>
          </cell>
          <cell r="H983" t="str">
            <v>Corporate</v>
          </cell>
          <cell r="I983" t="str">
            <v>Aanya Zhang</v>
          </cell>
          <cell r="J983" t="str">
            <v>Low</v>
          </cell>
          <cell r="K983" t="str">
            <v>Smiths Standard Envelopes</v>
          </cell>
          <cell r="L983" t="str">
            <v>Office Supplies</v>
          </cell>
          <cell r="M983" t="str">
            <v>Small Box</v>
          </cell>
          <cell r="N983" t="str">
            <v>Regular Air</v>
          </cell>
          <cell r="O983">
            <v>42701</v>
          </cell>
          <cell r="P983">
            <v>3.52</v>
          </cell>
          <cell r="Q983">
            <v>5.68</v>
          </cell>
          <cell r="R983">
            <v>2.1599999999999997</v>
          </cell>
          <cell r="S983">
            <v>10</v>
          </cell>
          <cell r="T983">
            <v>56.8</v>
          </cell>
          <cell r="V983">
            <v>5.1119999999999992</v>
          </cell>
          <cell r="W983">
            <v>51.687999999999995</v>
          </cell>
          <cell r="X983">
            <v>1.39</v>
          </cell>
          <cell r="Y983">
            <v>53.077999999999996</v>
          </cell>
        </row>
        <row r="984">
          <cell r="A984" t="str">
            <v>6499-1</v>
          </cell>
          <cell r="B984">
            <v>42697</v>
          </cell>
          <cell r="C984" t="str">
            <v>2016</v>
          </cell>
          <cell r="D984" t="str">
            <v>Matt Connell</v>
          </cell>
          <cell r="E984" t="str">
            <v>470 Anzac Parade,Kingsford</v>
          </cell>
          <cell r="F984" t="str">
            <v>Sydney</v>
          </cell>
          <cell r="G984" t="str">
            <v>NSW</v>
          </cell>
          <cell r="H984" t="str">
            <v>Corporate</v>
          </cell>
          <cell r="I984" t="str">
            <v>Tina Carlton</v>
          </cell>
          <cell r="J984" t="str">
            <v>Critical</v>
          </cell>
          <cell r="K984" t="str">
            <v>Steady Major Accent Highlighters</v>
          </cell>
          <cell r="L984" t="str">
            <v>Office Supplies</v>
          </cell>
          <cell r="M984" t="str">
            <v>Wrap Bag</v>
          </cell>
          <cell r="N984" t="str">
            <v>Regular Air</v>
          </cell>
          <cell r="O984">
            <v>42699</v>
          </cell>
          <cell r="P984">
            <v>3.75</v>
          </cell>
          <cell r="Q984">
            <v>7.08</v>
          </cell>
          <cell r="R984">
            <v>3.33</v>
          </cell>
          <cell r="S984">
            <v>29</v>
          </cell>
          <cell r="T984">
            <v>205.32</v>
          </cell>
          <cell r="V984">
            <v>14.372400000000001</v>
          </cell>
          <cell r="W984">
            <v>190.94759999999999</v>
          </cell>
          <cell r="X984">
            <v>2.35</v>
          </cell>
          <cell r="Y984">
            <v>193.29759999999999</v>
          </cell>
        </row>
        <row r="985">
          <cell r="A985" t="str">
            <v>6500-1</v>
          </cell>
          <cell r="B985">
            <v>42700</v>
          </cell>
          <cell r="C985" t="str">
            <v>2016</v>
          </cell>
          <cell r="D985" t="str">
            <v>Jack OBriant</v>
          </cell>
          <cell r="E985" t="str">
            <v>85-113 Dunning Ave,Rosebery</v>
          </cell>
          <cell r="F985" t="str">
            <v>Sydney</v>
          </cell>
          <cell r="G985" t="str">
            <v>NSW</v>
          </cell>
          <cell r="H985" t="str">
            <v>Small Business</v>
          </cell>
          <cell r="I985" t="str">
            <v>Mihael Khan</v>
          </cell>
          <cell r="J985" t="str">
            <v>Medium</v>
          </cell>
          <cell r="K985" t="str">
            <v>3Max Organizer Strips</v>
          </cell>
          <cell r="L985" t="str">
            <v>Office Supplies</v>
          </cell>
          <cell r="M985" t="str">
            <v>Small Box</v>
          </cell>
          <cell r="N985" t="str">
            <v>Regular Air</v>
          </cell>
          <cell r="O985">
            <v>42702</v>
          </cell>
          <cell r="P985">
            <v>3.4</v>
          </cell>
          <cell r="Q985">
            <v>5.4</v>
          </cell>
          <cell r="R985">
            <v>2.0000000000000004</v>
          </cell>
          <cell r="S985">
            <v>1</v>
          </cell>
          <cell r="T985">
            <v>5.4</v>
          </cell>
          <cell r="V985">
            <v>0</v>
          </cell>
          <cell r="W985">
            <v>5.4</v>
          </cell>
          <cell r="X985">
            <v>7.78</v>
          </cell>
          <cell r="Y985">
            <v>13.18</v>
          </cell>
        </row>
        <row r="986">
          <cell r="A986" t="str">
            <v>6502-1</v>
          </cell>
          <cell r="B986">
            <v>42700</v>
          </cell>
          <cell r="C986" t="str">
            <v>2016</v>
          </cell>
          <cell r="D986" t="str">
            <v>Laurel Elliston</v>
          </cell>
          <cell r="E986" t="str">
            <v>1 John St,Waterloo</v>
          </cell>
          <cell r="F986" t="str">
            <v>Sydney</v>
          </cell>
          <cell r="G986" t="str">
            <v>NSW</v>
          </cell>
          <cell r="H986" t="str">
            <v>Home Office</v>
          </cell>
          <cell r="I986" t="str">
            <v>Charlie Bui</v>
          </cell>
          <cell r="J986" t="str">
            <v>Medium</v>
          </cell>
          <cell r="K986" t="str">
            <v>Artisan 474 Labels</v>
          </cell>
          <cell r="L986" t="str">
            <v>Office Supplies</v>
          </cell>
          <cell r="M986" t="str">
            <v>Small Box</v>
          </cell>
          <cell r="N986" t="str">
            <v>Regular Air</v>
          </cell>
          <cell r="O986">
            <v>42702</v>
          </cell>
          <cell r="P986">
            <v>1.84</v>
          </cell>
          <cell r="Q986">
            <v>2.88</v>
          </cell>
          <cell r="R986">
            <v>1.0399999999999998</v>
          </cell>
          <cell r="S986">
            <v>6</v>
          </cell>
          <cell r="T986">
            <v>17.28</v>
          </cell>
          <cell r="V986">
            <v>1.0367999999999999</v>
          </cell>
          <cell r="W986">
            <v>16.243200000000002</v>
          </cell>
          <cell r="X986">
            <v>0.99</v>
          </cell>
          <cell r="Y986">
            <v>17.2332</v>
          </cell>
        </row>
        <row r="987">
          <cell r="A987" t="str">
            <v>6503-1</v>
          </cell>
          <cell r="B987">
            <v>42700</v>
          </cell>
          <cell r="C987" t="str">
            <v>2016</v>
          </cell>
          <cell r="D987" t="str">
            <v>Erin Ashbrook</v>
          </cell>
          <cell r="E987" t="str">
            <v>61 York St,Sydney</v>
          </cell>
          <cell r="F987" t="str">
            <v>Sydney</v>
          </cell>
          <cell r="G987" t="str">
            <v>NSW</v>
          </cell>
          <cell r="H987" t="str">
            <v>Consumer</v>
          </cell>
          <cell r="I987" t="str">
            <v>Leighton Forrest</v>
          </cell>
          <cell r="J987" t="str">
            <v>Low</v>
          </cell>
          <cell r="K987" t="str">
            <v>Assorted Color Push Pins</v>
          </cell>
          <cell r="L987" t="str">
            <v>Office Supplies</v>
          </cell>
          <cell r="M987" t="str">
            <v>Wrap Bag</v>
          </cell>
          <cell r="N987" t="str">
            <v>Regular Air</v>
          </cell>
          <cell r="O987">
            <v>42704</v>
          </cell>
          <cell r="P987">
            <v>0.87</v>
          </cell>
          <cell r="Q987">
            <v>1.81</v>
          </cell>
          <cell r="R987">
            <v>0.94000000000000006</v>
          </cell>
          <cell r="S987">
            <v>18</v>
          </cell>
          <cell r="T987">
            <v>32.58</v>
          </cell>
          <cell r="V987">
            <v>1.9547999999999999</v>
          </cell>
          <cell r="W987">
            <v>30.6252</v>
          </cell>
          <cell r="X987">
            <v>0.75</v>
          </cell>
          <cell r="Y987">
            <v>31.3752</v>
          </cell>
        </row>
        <row r="988">
          <cell r="A988" t="str">
            <v>6504-1</v>
          </cell>
          <cell r="B988">
            <v>42701</v>
          </cell>
          <cell r="C988" t="str">
            <v>2016</v>
          </cell>
          <cell r="D988" t="str">
            <v>Pauline Chand</v>
          </cell>
          <cell r="E988" t="str">
            <v>501 George St,Sydney</v>
          </cell>
          <cell r="F988" t="str">
            <v>Sydney</v>
          </cell>
          <cell r="G988" t="str">
            <v>NSW</v>
          </cell>
          <cell r="H988" t="str">
            <v>Corporate</v>
          </cell>
          <cell r="I988" t="str">
            <v>Samantha Chairs</v>
          </cell>
          <cell r="J988" t="str">
            <v>Not Specified</v>
          </cell>
          <cell r="K988" t="str">
            <v>300 Series Non-Flip</v>
          </cell>
          <cell r="L988" t="str">
            <v>Technology</v>
          </cell>
          <cell r="M988" t="str">
            <v>Small Box</v>
          </cell>
          <cell r="N988" t="str">
            <v>Regular Air</v>
          </cell>
          <cell r="O988">
            <v>42703</v>
          </cell>
          <cell r="P988">
            <v>62.4</v>
          </cell>
          <cell r="Q988">
            <v>155.99</v>
          </cell>
          <cell r="R988">
            <v>93.59</v>
          </cell>
          <cell r="S988">
            <v>24</v>
          </cell>
          <cell r="T988">
            <v>3743.76</v>
          </cell>
          <cell r="V988">
            <v>149.75040000000001</v>
          </cell>
          <cell r="W988">
            <v>3594.0096000000003</v>
          </cell>
          <cell r="X988">
            <v>8.08</v>
          </cell>
          <cell r="Y988">
            <v>3602.0896000000002</v>
          </cell>
        </row>
        <row r="989">
          <cell r="A989" t="str">
            <v>6505-1</v>
          </cell>
          <cell r="B989">
            <v>42701</v>
          </cell>
          <cell r="C989" t="str">
            <v>2016</v>
          </cell>
          <cell r="D989" t="str">
            <v>John Murray</v>
          </cell>
          <cell r="E989" t="str">
            <v>Sydney Fish Market, Bank Street, Sydney</v>
          </cell>
          <cell r="F989" t="str">
            <v>Sydney</v>
          </cell>
          <cell r="G989" t="str">
            <v>NSW</v>
          </cell>
          <cell r="H989" t="str">
            <v>Small Business</v>
          </cell>
          <cell r="I989" t="str">
            <v>Phoebe Gour</v>
          </cell>
          <cell r="J989" t="str">
            <v>Low</v>
          </cell>
          <cell r="K989" t="str">
            <v>Cando PC940 Copier</v>
          </cell>
          <cell r="L989" t="str">
            <v>Technology</v>
          </cell>
          <cell r="M989" t="str">
            <v>Jumbo Drum</v>
          </cell>
          <cell r="N989" t="str">
            <v>Delivery Truck</v>
          </cell>
          <cell r="O989">
            <v>42701</v>
          </cell>
          <cell r="P989">
            <v>278.99</v>
          </cell>
          <cell r="Q989">
            <v>449.99</v>
          </cell>
          <cell r="R989">
            <v>171</v>
          </cell>
          <cell r="S989">
            <v>18</v>
          </cell>
          <cell r="T989">
            <v>8099.82</v>
          </cell>
          <cell r="V989">
            <v>728.98379999999997</v>
          </cell>
          <cell r="W989">
            <v>7370.8361999999997</v>
          </cell>
          <cell r="X989">
            <v>49</v>
          </cell>
          <cell r="Y989">
            <v>7419.8361999999997</v>
          </cell>
        </row>
        <row r="990">
          <cell r="A990" t="str">
            <v>6506-1</v>
          </cell>
          <cell r="B990">
            <v>42702</v>
          </cell>
          <cell r="C990" t="str">
            <v>2016</v>
          </cell>
          <cell r="D990" t="str">
            <v>Matthew Grinstein</v>
          </cell>
          <cell r="E990" t="str">
            <v>105 Pitt St,Sydney</v>
          </cell>
          <cell r="F990" t="str">
            <v>Sydney</v>
          </cell>
          <cell r="G990" t="str">
            <v>NSW</v>
          </cell>
          <cell r="H990" t="str">
            <v>Small Business</v>
          </cell>
          <cell r="I990" t="str">
            <v>Charlie Bui</v>
          </cell>
          <cell r="J990" t="str">
            <v>Critical</v>
          </cell>
          <cell r="K990" t="str">
            <v>Artisan 481 Labels</v>
          </cell>
          <cell r="L990" t="str">
            <v>Office Supplies</v>
          </cell>
          <cell r="M990" t="str">
            <v>Small Box</v>
          </cell>
          <cell r="N990" t="str">
            <v>Regular Air</v>
          </cell>
          <cell r="O990">
            <v>42703</v>
          </cell>
          <cell r="P990">
            <v>1.94</v>
          </cell>
          <cell r="Q990">
            <v>3.08</v>
          </cell>
          <cell r="R990">
            <v>1.1400000000000001</v>
          </cell>
          <cell r="S990">
            <v>18</v>
          </cell>
          <cell r="T990">
            <v>55.44</v>
          </cell>
          <cell r="V990">
            <v>1.1088</v>
          </cell>
          <cell r="W990">
            <v>54.331199999999995</v>
          </cell>
          <cell r="X990">
            <v>0.99</v>
          </cell>
          <cell r="Y990">
            <v>55.321199999999997</v>
          </cell>
        </row>
        <row r="991">
          <cell r="A991" t="str">
            <v>6507-1</v>
          </cell>
          <cell r="B991">
            <v>42702</v>
          </cell>
          <cell r="C991" t="str">
            <v>2016</v>
          </cell>
          <cell r="D991" t="str">
            <v>Jeremy Pistek</v>
          </cell>
          <cell r="E991" t="str">
            <v>85-113 Dunning Ave,Roseberry</v>
          </cell>
          <cell r="F991" t="str">
            <v>Sydney</v>
          </cell>
          <cell r="G991" t="str">
            <v>NSW</v>
          </cell>
          <cell r="H991" t="str">
            <v>Corporate</v>
          </cell>
          <cell r="I991" t="str">
            <v>Mihael Khan</v>
          </cell>
          <cell r="J991" t="str">
            <v>Critical</v>
          </cell>
          <cell r="K991" t="str">
            <v>Unpadded Memo Slips</v>
          </cell>
          <cell r="L991" t="str">
            <v>Office Supplies</v>
          </cell>
          <cell r="M991" t="str">
            <v>Wrap Bag</v>
          </cell>
          <cell r="N991" t="str">
            <v>Regular Air</v>
          </cell>
          <cell r="O991">
            <v>42705</v>
          </cell>
          <cell r="P991">
            <v>2.59</v>
          </cell>
          <cell r="Q991">
            <v>3.98</v>
          </cell>
          <cell r="R991">
            <v>1.3900000000000001</v>
          </cell>
          <cell r="S991">
            <v>11</v>
          </cell>
          <cell r="T991">
            <v>43.78</v>
          </cell>
          <cell r="V991">
            <v>3.0646000000000004</v>
          </cell>
          <cell r="W991">
            <v>40.715400000000002</v>
          </cell>
          <cell r="X991">
            <v>2.97</v>
          </cell>
          <cell r="Y991">
            <v>43.685400000000001</v>
          </cell>
        </row>
        <row r="992">
          <cell r="A992" t="str">
            <v>6508-1</v>
          </cell>
          <cell r="B992">
            <v>42703</v>
          </cell>
          <cell r="C992" t="str">
            <v>2016</v>
          </cell>
          <cell r="D992" t="str">
            <v>Grant Carroll</v>
          </cell>
          <cell r="E992" t="str">
            <v>10 O'Connell St,Sydney</v>
          </cell>
          <cell r="F992" t="str">
            <v>Sydney</v>
          </cell>
          <cell r="G992" t="str">
            <v>NSW</v>
          </cell>
          <cell r="H992" t="str">
            <v>Small Business</v>
          </cell>
          <cell r="I992" t="str">
            <v>Aanya Zhang</v>
          </cell>
          <cell r="J992" t="str">
            <v>Not Specified</v>
          </cell>
          <cell r="K992" t="str">
            <v>Col-Erase Pencils with Erasers</v>
          </cell>
          <cell r="L992" t="str">
            <v>Office Supplies</v>
          </cell>
          <cell r="M992" t="str">
            <v>Wrap Bag</v>
          </cell>
          <cell r="N992" t="str">
            <v>Regular Air</v>
          </cell>
          <cell r="O992">
            <v>42704</v>
          </cell>
          <cell r="P992">
            <v>2.68</v>
          </cell>
          <cell r="Q992">
            <v>6.08</v>
          </cell>
          <cell r="R992">
            <v>3.4</v>
          </cell>
          <cell r="S992">
            <v>49</v>
          </cell>
          <cell r="T992">
            <v>297.92</v>
          </cell>
          <cell r="V992">
            <v>23.833600000000001</v>
          </cell>
          <cell r="W992">
            <v>274.08640000000003</v>
          </cell>
          <cell r="X992">
            <v>1.17</v>
          </cell>
          <cell r="Y992">
            <v>275.25640000000004</v>
          </cell>
        </row>
        <row r="993">
          <cell r="A993" t="str">
            <v>6509-1</v>
          </cell>
          <cell r="B993">
            <v>42705</v>
          </cell>
          <cell r="C993" t="str">
            <v>2016</v>
          </cell>
          <cell r="D993" t="str">
            <v>Steve Nguyen</v>
          </cell>
          <cell r="E993" t="str">
            <v>61 York St,Sydney</v>
          </cell>
          <cell r="F993" t="str">
            <v>Sydney</v>
          </cell>
          <cell r="G993" t="str">
            <v>NSW</v>
          </cell>
          <cell r="H993" t="str">
            <v>Consumer</v>
          </cell>
          <cell r="I993" t="str">
            <v>Leighton Forrest</v>
          </cell>
          <cell r="J993" t="str">
            <v>High</v>
          </cell>
          <cell r="K993" t="str">
            <v>UGen Ultra Cordless Optical Suite</v>
          </cell>
          <cell r="L993" t="str">
            <v>Technology</v>
          </cell>
          <cell r="M993" t="str">
            <v>Small Box</v>
          </cell>
          <cell r="N993" t="str">
            <v>Regular Air</v>
          </cell>
          <cell r="O993">
            <v>42706</v>
          </cell>
          <cell r="P993">
            <v>54.52</v>
          </cell>
          <cell r="Q993">
            <v>100.97</v>
          </cell>
          <cell r="R993">
            <v>46.449999999999996</v>
          </cell>
          <cell r="S993">
            <v>42</v>
          </cell>
          <cell r="T993">
            <v>4240.74</v>
          </cell>
          <cell r="V993">
            <v>424.07400000000001</v>
          </cell>
          <cell r="W993">
            <v>3816.6659999999997</v>
          </cell>
          <cell r="X993">
            <v>7.18</v>
          </cell>
          <cell r="Y993">
            <v>3823.8459999999995</v>
          </cell>
        </row>
        <row r="994">
          <cell r="A994" t="str">
            <v>6510-1</v>
          </cell>
          <cell r="B994">
            <v>42707</v>
          </cell>
          <cell r="C994" t="str">
            <v>2016</v>
          </cell>
          <cell r="D994" t="str">
            <v>Anthony Rawles</v>
          </cell>
          <cell r="E994" t="str">
            <v>10 Lake Street, Perth</v>
          </cell>
          <cell r="F994" t="str">
            <v>Perth</v>
          </cell>
          <cell r="G994" t="str">
            <v>WA</v>
          </cell>
          <cell r="H994" t="str">
            <v>Small Business</v>
          </cell>
          <cell r="I994" t="str">
            <v>Mihael Khan</v>
          </cell>
          <cell r="J994" t="str">
            <v>Medium</v>
          </cell>
          <cell r="K994" t="str">
            <v>Artisan Durable Binders</v>
          </cell>
          <cell r="L994" t="str">
            <v>Office Supplies</v>
          </cell>
          <cell r="M994" t="str">
            <v>Small Box</v>
          </cell>
          <cell r="N994" t="str">
            <v>Regular Air</v>
          </cell>
          <cell r="O994">
            <v>42709</v>
          </cell>
          <cell r="P994">
            <v>1.84</v>
          </cell>
          <cell r="Q994">
            <v>2.88</v>
          </cell>
          <cell r="R994">
            <v>1.0399999999999998</v>
          </cell>
          <cell r="S994">
            <v>40</v>
          </cell>
          <cell r="T994">
            <v>115.19999999999999</v>
          </cell>
          <cell r="V994">
            <v>0</v>
          </cell>
          <cell r="W994">
            <v>115.19999999999999</v>
          </cell>
          <cell r="X994">
            <v>1.49</v>
          </cell>
          <cell r="Y994">
            <v>116.68999999999998</v>
          </cell>
        </row>
        <row r="995">
          <cell r="A995" t="str">
            <v>6511-1</v>
          </cell>
          <cell r="B995">
            <v>42708</v>
          </cell>
          <cell r="C995" t="str">
            <v>2016</v>
          </cell>
          <cell r="D995" t="str">
            <v>Jennifer Jackson</v>
          </cell>
          <cell r="E995" t="str">
            <v>Crown Complex,Southbank</v>
          </cell>
          <cell r="F995" t="str">
            <v>Melbourne</v>
          </cell>
          <cell r="G995" t="str">
            <v>VIC</v>
          </cell>
          <cell r="H995" t="str">
            <v>Home Office</v>
          </cell>
          <cell r="I995" t="str">
            <v>Connor Betts</v>
          </cell>
          <cell r="J995" t="str">
            <v>High</v>
          </cell>
          <cell r="K995" t="str">
            <v>Beekin 105-Key Black Keyboard</v>
          </cell>
          <cell r="L995" t="str">
            <v>Technology</v>
          </cell>
          <cell r="M995" t="str">
            <v>Small Box</v>
          </cell>
          <cell r="N995" t="str">
            <v>Regular Air</v>
          </cell>
          <cell r="O995">
            <v>42709</v>
          </cell>
          <cell r="P995">
            <v>6.39</v>
          </cell>
          <cell r="Q995">
            <v>19.98</v>
          </cell>
          <cell r="R995">
            <v>13.59</v>
          </cell>
          <cell r="S995">
            <v>29</v>
          </cell>
          <cell r="T995">
            <v>579.41999999999996</v>
          </cell>
          <cell r="V995">
            <v>34.765199999999993</v>
          </cell>
          <cell r="W995">
            <v>544.65480000000002</v>
          </cell>
          <cell r="X995">
            <v>4</v>
          </cell>
          <cell r="Y995">
            <v>548.65480000000002</v>
          </cell>
        </row>
        <row r="996">
          <cell r="A996" t="str">
            <v>6512-1</v>
          </cell>
          <cell r="B996">
            <v>42709</v>
          </cell>
          <cell r="C996" t="str">
            <v>2016</v>
          </cell>
          <cell r="D996" t="str">
            <v>Frank Atkinson</v>
          </cell>
          <cell r="E996" t="str">
            <v>188 Pitt Street,Sydney</v>
          </cell>
          <cell r="F996" t="str">
            <v>Sydney</v>
          </cell>
          <cell r="G996" t="str">
            <v>NSW</v>
          </cell>
          <cell r="H996" t="str">
            <v>Corporate</v>
          </cell>
          <cell r="I996" t="str">
            <v>Tina Carlton</v>
          </cell>
          <cell r="J996" t="str">
            <v>High</v>
          </cell>
          <cell r="K996" t="str">
            <v>Barrel Sharpener</v>
          </cell>
          <cell r="L996" t="str">
            <v>Office Supplies</v>
          </cell>
          <cell r="M996" t="str">
            <v>Small Pack</v>
          </cell>
          <cell r="N996" t="str">
            <v>Express Air</v>
          </cell>
          <cell r="O996">
            <v>42711</v>
          </cell>
          <cell r="P996">
            <v>1.46</v>
          </cell>
          <cell r="Q996">
            <v>3.57</v>
          </cell>
          <cell r="R996">
            <v>2.11</v>
          </cell>
          <cell r="S996">
            <v>10</v>
          </cell>
          <cell r="T996">
            <v>35.699999999999996</v>
          </cell>
          <cell r="V996">
            <v>0.35699999999999998</v>
          </cell>
          <cell r="W996">
            <v>35.342999999999996</v>
          </cell>
          <cell r="X996">
            <v>4.17</v>
          </cell>
          <cell r="Y996">
            <v>39.512999999999998</v>
          </cell>
        </row>
        <row r="997">
          <cell r="A997" t="str">
            <v>6514-1</v>
          </cell>
          <cell r="B997">
            <v>42710</v>
          </cell>
          <cell r="C997" t="str">
            <v>2016</v>
          </cell>
          <cell r="D997" t="str">
            <v>Ben Peterman</v>
          </cell>
          <cell r="E997" t="str">
            <v>22 St Georges Terrace, Perth</v>
          </cell>
          <cell r="F997" t="str">
            <v>Sydney</v>
          </cell>
          <cell r="G997" t="str">
            <v>NSW</v>
          </cell>
          <cell r="H997" t="str">
            <v>Corporate</v>
          </cell>
          <cell r="I997" t="str">
            <v>Leighton Forrest</v>
          </cell>
          <cell r="J997" t="str">
            <v>Low</v>
          </cell>
          <cell r="K997" t="str">
            <v>Adesso Programmable 142-Key Keyboard</v>
          </cell>
          <cell r="L997" t="str">
            <v>Technology</v>
          </cell>
          <cell r="M997" t="str">
            <v>Small Box</v>
          </cell>
          <cell r="N997" t="str">
            <v>Regular Air</v>
          </cell>
          <cell r="O997">
            <v>42712</v>
          </cell>
          <cell r="P997">
            <v>32.020000000000003</v>
          </cell>
          <cell r="Q997">
            <v>152.47999999999999</v>
          </cell>
          <cell r="R997">
            <v>120.45999999999998</v>
          </cell>
          <cell r="S997">
            <v>46</v>
          </cell>
          <cell r="T997">
            <v>7014.08</v>
          </cell>
          <cell r="V997">
            <v>70.140799999999999</v>
          </cell>
          <cell r="W997">
            <v>6943.9391999999998</v>
          </cell>
          <cell r="X997">
            <v>4</v>
          </cell>
          <cell r="Y997">
            <v>6947.9391999999998</v>
          </cell>
        </row>
        <row r="998">
          <cell r="A998" t="str">
            <v>6515-1</v>
          </cell>
          <cell r="B998">
            <v>42712</v>
          </cell>
          <cell r="C998" t="str">
            <v>2016</v>
          </cell>
          <cell r="D998" t="str">
            <v>Erica Hernandez</v>
          </cell>
          <cell r="E998" t="str">
            <v>12 Princess Hwy,Sylvania</v>
          </cell>
          <cell r="F998" t="str">
            <v>Sydney</v>
          </cell>
          <cell r="G998" t="str">
            <v>NSW</v>
          </cell>
          <cell r="H998" t="str">
            <v>Small Business</v>
          </cell>
          <cell r="I998" t="str">
            <v>Nicholas Fernandes</v>
          </cell>
          <cell r="J998" t="str">
            <v>Low</v>
          </cell>
          <cell r="K998" t="str">
            <v>Alto Parchment Paper, Assorted Colors</v>
          </cell>
          <cell r="L998" t="str">
            <v>Office Supplies</v>
          </cell>
          <cell r="M998" t="str">
            <v>Small Box</v>
          </cell>
          <cell r="N998" t="str">
            <v>Regular Air</v>
          </cell>
          <cell r="O998">
            <v>42719</v>
          </cell>
          <cell r="P998">
            <v>4.59</v>
          </cell>
          <cell r="Q998">
            <v>7.28</v>
          </cell>
          <cell r="R998">
            <v>2.6900000000000004</v>
          </cell>
          <cell r="S998">
            <v>18</v>
          </cell>
          <cell r="T998">
            <v>131.04</v>
          </cell>
          <cell r="V998">
            <v>11.7936</v>
          </cell>
          <cell r="W998">
            <v>119.24639999999999</v>
          </cell>
          <cell r="X998">
            <v>11.15</v>
          </cell>
          <cell r="Y998">
            <v>130.3964</v>
          </cell>
        </row>
        <row r="999">
          <cell r="A999" t="str">
            <v>6515-2</v>
          </cell>
          <cell r="B999">
            <v>42712</v>
          </cell>
          <cell r="C999" t="str">
            <v>2016</v>
          </cell>
          <cell r="D999" t="str">
            <v>Erica Hernandez</v>
          </cell>
          <cell r="E999" t="str">
            <v>12 Princess Hwy,Sylvania</v>
          </cell>
          <cell r="F999" t="str">
            <v>Sydney</v>
          </cell>
          <cell r="G999" t="str">
            <v>NSW</v>
          </cell>
          <cell r="H999" t="str">
            <v>Small Business</v>
          </cell>
          <cell r="I999" t="str">
            <v>Nicholas Fernandes</v>
          </cell>
          <cell r="J999" t="str">
            <v>Low</v>
          </cell>
          <cell r="K999" t="str">
            <v>OIC Thumb-Tacks</v>
          </cell>
          <cell r="L999" t="str">
            <v>Office Supplies</v>
          </cell>
          <cell r="M999" t="str">
            <v>Wrap Bag</v>
          </cell>
          <cell r="N999" t="str">
            <v>Regular Air</v>
          </cell>
          <cell r="O999">
            <v>42716</v>
          </cell>
          <cell r="P999">
            <v>0.71</v>
          </cell>
          <cell r="Q999">
            <v>1.1399999999999999</v>
          </cell>
          <cell r="R999">
            <v>0.42999999999999994</v>
          </cell>
          <cell r="S999">
            <v>28</v>
          </cell>
          <cell r="T999">
            <v>31.919999999999998</v>
          </cell>
          <cell r="V999">
            <v>2.8727999999999998</v>
          </cell>
          <cell r="W999">
            <v>29.047199999999997</v>
          </cell>
          <cell r="X999">
            <v>0.7</v>
          </cell>
          <cell r="Y999">
            <v>29.747199999999996</v>
          </cell>
        </row>
        <row r="1000">
          <cell r="A1000" t="str">
            <v>6517-1</v>
          </cell>
          <cell r="B1000">
            <v>42712</v>
          </cell>
          <cell r="C1000" t="str">
            <v>2016</v>
          </cell>
          <cell r="D1000" t="str">
            <v>Amy Hunt</v>
          </cell>
          <cell r="E1000" t="str">
            <v>15 Aberdeen Street, Perth</v>
          </cell>
          <cell r="F1000" t="str">
            <v>Melbourne</v>
          </cell>
          <cell r="G1000" t="str">
            <v>VIC</v>
          </cell>
          <cell r="H1000" t="str">
            <v>Small Business</v>
          </cell>
          <cell r="I1000" t="str">
            <v>Yvette Biti</v>
          </cell>
          <cell r="J1000" t="str">
            <v>High</v>
          </cell>
          <cell r="K1000" t="str">
            <v>Multi-Use Personal File Cart and Caster Set, Three Stacking Bins</v>
          </cell>
          <cell r="L1000" t="str">
            <v>Office Supplies</v>
          </cell>
          <cell r="M1000" t="str">
            <v>Small Box</v>
          </cell>
          <cell r="N1000" t="str">
            <v>Regular Air</v>
          </cell>
          <cell r="O1000">
            <v>42714</v>
          </cell>
          <cell r="P1000">
            <v>14.95</v>
          </cell>
          <cell r="Q1000">
            <v>34.76</v>
          </cell>
          <cell r="R1000">
            <v>19.809999999999999</v>
          </cell>
          <cell r="S1000">
            <v>10</v>
          </cell>
          <cell r="T1000">
            <v>347.59999999999997</v>
          </cell>
          <cell r="V1000">
            <v>20.855999999999998</v>
          </cell>
          <cell r="W1000">
            <v>326.74399999999997</v>
          </cell>
          <cell r="X1000">
            <v>8.2200000000000006</v>
          </cell>
          <cell r="Y1000">
            <v>334.964</v>
          </cell>
        </row>
        <row r="1001">
          <cell r="A1001" t="str">
            <v>6521-1</v>
          </cell>
          <cell r="B1001">
            <v>42713</v>
          </cell>
          <cell r="C1001" t="str">
            <v>2016</v>
          </cell>
          <cell r="D1001" t="str">
            <v>Guy Armstrong</v>
          </cell>
          <cell r="E1001" t="str">
            <v>6 Mary St,Newtown</v>
          </cell>
          <cell r="F1001" t="str">
            <v>Sydney</v>
          </cell>
          <cell r="G1001" t="str">
            <v>NSW</v>
          </cell>
          <cell r="H1001" t="str">
            <v>Corporate</v>
          </cell>
          <cell r="I1001" t="str">
            <v>Samantha Chairs</v>
          </cell>
          <cell r="J1001" t="str">
            <v>High</v>
          </cell>
          <cell r="K1001" t="str">
            <v>12 Colored Short Pencils</v>
          </cell>
          <cell r="L1001" t="str">
            <v>Office Supplies</v>
          </cell>
          <cell r="M1001" t="str">
            <v>Wrap Bag</v>
          </cell>
          <cell r="N1001" t="str">
            <v>Regular Air</v>
          </cell>
          <cell r="O1001">
            <v>42714</v>
          </cell>
          <cell r="P1001">
            <v>1.0900000000000001</v>
          </cell>
          <cell r="Q1001">
            <v>2.6</v>
          </cell>
          <cell r="R1001">
            <v>1.51</v>
          </cell>
          <cell r="S1001">
            <v>8</v>
          </cell>
          <cell r="T1001">
            <v>20.8</v>
          </cell>
          <cell r="V1001">
            <v>0.41600000000000004</v>
          </cell>
          <cell r="W1001">
            <v>20.384</v>
          </cell>
          <cell r="X1001">
            <v>2.4</v>
          </cell>
          <cell r="Y1001">
            <v>22.783999999999999</v>
          </cell>
        </row>
        <row r="1002">
          <cell r="A1002" t="str">
            <v>6523-1</v>
          </cell>
          <cell r="B1002">
            <v>42714</v>
          </cell>
          <cell r="C1002" t="str">
            <v>2016</v>
          </cell>
          <cell r="D1002" t="str">
            <v>Cindy Chapman</v>
          </cell>
          <cell r="E1002" t="str">
            <v>101 Murray Street</v>
          </cell>
          <cell r="F1002" t="str">
            <v>Perth</v>
          </cell>
          <cell r="G1002" t="str">
            <v>WA</v>
          </cell>
          <cell r="H1002" t="str">
            <v>Corporate</v>
          </cell>
          <cell r="I1002" t="str">
            <v>Tina Carlton</v>
          </cell>
          <cell r="J1002" t="str">
            <v>Critical</v>
          </cell>
          <cell r="K1002" t="str">
            <v>Bagged Rubber Bands</v>
          </cell>
          <cell r="L1002" t="str">
            <v>Office Supplies</v>
          </cell>
          <cell r="M1002" t="str">
            <v>Wrap Bag</v>
          </cell>
          <cell r="N1002" t="str">
            <v>Regular Air</v>
          </cell>
          <cell r="O1002">
            <v>42716</v>
          </cell>
          <cell r="P1002">
            <v>0.24</v>
          </cell>
          <cell r="Q1002">
            <v>1.26</v>
          </cell>
          <cell r="R1002">
            <v>1.02</v>
          </cell>
          <cell r="S1002">
            <v>37</v>
          </cell>
          <cell r="T1002">
            <v>46.62</v>
          </cell>
          <cell r="V1002">
            <v>1.3985999999999998</v>
          </cell>
          <cell r="W1002">
            <v>45.221399999999996</v>
          </cell>
          <cell r="X1002">
            <v>0.7</v>
          </cell>
          <cell r="Y1002">
            <v>45.921399999999998</v>
          </cell>
        </row>
        <row r="1003">
          <cell r="A1003" t="str">
            <v>6525-1</v>
          </cell>
          <cell r="B1003">
            <v>42714</v>
          </cell>
          <cell r="C1003" t="str">
            <v>2016</v>
          </cell>
          <cell r="D1003" t="str">
            <v>Ken Lonsdale</v>
          </cell>
          <cell r="E1003" t="str">
            <v>99 Lygon Street,East Brunswick</v>
          </cell>
          <cell r="F1003" t="str">
            <v>Melbourne</v>
          </cell>
          <cell r="G1003" t="str">
            <v>VIC</v>
          </cell>
          <cell r="H1003" t="str">
            <v>Consumer</v>
          </cell>
          <cell r="I1003" t="str">
            <v>Connor Betts</v>
          </cell>
          <cell r="J1003" t="str">
            <v>Low</v>
          </cell>
          <cell r="K1003" t="str">
            <v>DrawIt Pizazz Watercolor Pencils, 10-Color Set with Brush</v>
          </cell>
          <cell r="L1003" t="str">
            <v>Office Supplies</v>
          </cell>
          <cell r="M1003" t="str">
            <v>Wrap Bag</v>
          </cell>
          <cell r="N1003" t="str">
            <v>Regular Air</v>
          </cell>
          <cell r="O1003">
            <v>42718</v>
          </cell>
          <cell r="P1003">
            <v>2.39</v>
          </cell>
          <cell r="Q1003">
            <v>4.26</v>
          </cell>
          <cell r="R1003">
            <v>1.8699999999999997</v>
          </cell>
          <cell r="S1003">
            <v>44</v>
          </cell>
          <cell r="T1003">
            <v>187.44</v>
          </cell>
          <cell r="V1003">
            <v>1.8744000000000001</v>
          </cell>
          <cell r="W1003">
            <v>185.56559999999999</v>
          </cell>
          <cell r="X1003">
            <v>1.2</v>
          </cell>
          <cell r="Y1003">
            <v>186.76559999999998</v>
          </cell>
        </row>
        <row r="1004">
          <cell r="A1004" t="str">
            <v>6526-1</v>
          </cell>
          <cell r="B1004">
            <v>42714</v>
          </cell>
          <cell r="C1004" t="str">
            <v>2016</v>
          </cell>
          <cell r="D1004" t="str">
            <v>Gary Hwang</v>
          </cell>
          <cell r="E1004" t="str">
            <v>60 York St,Sydney</v>
          </cell>
          <cell r="F1004" t="str">
            <v>Sydney</v>
          </cell>
          <cell r="G1004" t="str">
            <v>NSW</v>
          </cell>
          <cell r="H1004" t="str">
            <v>Home Office</v>
          </cell>
          <cell r="I1004" t="str">
            <v>Charlie Bui</v>
          </cell>
          <cell r="J1004" t="str">
            <v>Not Specified</v>
          </cell>
          <cell r="K1004" t="str">
            <v>Office Shears by Apex</v>
          </cell>
          <cell r="L1004" t="str">
            <v>Office Supplies</v>
          </cell>
          <cell r="M1004" t="str">
            <v>Small Pack</v>
          </cell>
          <cell r="N1004" t="str">
            <v>Regular Air</v>
          </cell>
          <cell r="O1004">
            <v>42716</v>
          </cell>
          <cell r="P1004">
            <v>0.94</v>
          </cell>
          <cell r="Q1004">
            <v>2.08</v>
          </cell>
          <cell r="R1004">
            <v>1.1400000000000001</v>
          </cell>
          <cell r="S1004">
            <v>36</v>
          </cell>
          <cell r="T1004">
            <v>74.88</v>
          </cell>
          <cell r="V1004">
            <v>7.4879999999999995</v>
          </cell>
          <cell r="W1004">
            <v>67.391999999999996</v>
          </cell>
          <cell r="X1004">
            <v>2.56</v>
          </cell>
          <cell r="Y1004">
            <v>69.951999999999998</v>
          </cell>
        </row>
        <row r="1005">
          <cell r="A1005" t="str">
            <v>6527-1</v>
          </cell>
          <cell r="B1005">
            <v>42714</v>
          </cell>
          <cell r="C1005" t="str">
            <v>2016</v>
          </cell>
          <cell r="D1005" t="str">
            <v>Brad Thomas</v>
          </cell>
          <cell r="E1005" t="str">
            <v>152 Bunnerong Road,Eastgardens</v>
          </cell>
          <cell r="F1005" t="str">
            <v>Sydney</v>
          </cell>
          <cell r="G1005" t="str">
            <v>NSW</v>
          </cell>
          <cell r="H1005" t="str">
            <v>Corporate</v>
          </cell>
          <cell r="I1005" t="str">
            <v>Tina Carlton</v>
          </cell>
          <cell r="J1005" t="str">
            <v>Low</v>
          </cell>
          <cell r="K1005" t="str">
            <v>Smiths Gold Paper Clips</v>
          </cell>
          <cell r="L1005" t="str">
            <v>Office Supplies</v>
          </cell>
          <cell r="M1005" t="str">
            <v>Wrap Bag</v>
          </cell>
          <cell r="N1005" t="str">
            <v>Regular Air</v>
          </cell>
          <cell r="O1005">
            <v>42719</v>
          </cell>
          <cell r="P1005">
            <v>1.82</v>
          </cell>
          <cell r="Q1005">
            <v>2.98</v>
          </cell>
          <cell r="R1005">
            <v>1.1599999999999999</v>
          </cell>
          <cell r="S1005">
            <v>45</v>
          </cell>
          <cell r="T1005">
            <v>134.1</v>
          </cell>
          <cell r="V1005">
            <v>6.7050000000000001</v>
          </cell>
          <cell r="W1005">
            <v>127.395</v>
          </cell>
          <cell r="X1005">
            <v>1.58</v>
          </cell>
          <cell r="Y1005">
            <v>128.97499999999999</v>
          </cell>
        </row>
        <row r="1006">
          <cell r="A1006" t="str">
            <v>6528-1</v>
          </cell>
          <cell r="B1006">
            <v>42714</v>
          </cell>
          <cell r="C1006" t="str">
            <v>2016</v>
          </cell>
          <cell r="D1006" t="str">
            <v>Paul Knutson</v>
          </cell>
          <cell r="E1006" t="str">
            <v>1/173-179 Bronte Rd,Waverley</v>
          </cell>
          <cell r="F1006" t="str">
            <v>Sydney</v>
          </cell>
          <cell r="G1006" t="str">
            <v>NSW</v>
          </cell>
          <cell r="H1006" t="str">
            <v>Corporate</v>
          </cell>
          <cell r="I1006" t="str">
            <v>Leighton Forrest</v>
          </cell>
          <cell r="J1006" t="str">
            <v>Critical</v>
          </cell>
          <cell r="K1006" t="str">
            <v>UGen Ultra Professional Cordless Optical Suite</v>
          </cell>
          <cell r="L1006" t="str">
            <v>Technology</v>
          </cell>
          <cell r="M1006" t="str">
            <v>Small Box</v>
          </cell>
          <cell r="N1006" t="str">
            <v>Express Air</v>
          </cell>
          <cell r="O1006">
            <v>42716</v>
          </cell>
          <cell r="P1006">
            <v>156.5</v>
          </cell>
          <cell r="Q1006">
            <v>300.97000000000003</v>
          </cell>
          <cell r="R1006">
            <v>144.47000000000003</v>
          </cell>
          <cell r="S1006">
            <v>8</v>
          </cell>
          <cell r="T1006">
            <v>2407.7600000000002</v>
          </cell>
          <cell r="V1006">
            <v>120.38800000000002</v>
          </cell>
          <cell r="W1006">
            <v>2287.3720000000003</v>
          </cell>
          <cell r="X1006">
            <v>7.18</v>
          </cell>
          <cell r="Y1006">
            <v>2294.5520000000001</v>
          </cell>
        </row>
        <row r="1007">
          <cell r="A1007" t="str">
            <v>6529-1</v>
          </cell>
          <cell r="B1007">
            <v>42718</v>
          </cell>
          <cell r="C1007" t="str">
            <v>2016</v>
          </cell>
          <cell r="D1007" t="str">
            <v>Dorris Love</v>
          </cell>
          <cell r="E1007" t="str">
            <v>359 Crown Street,Surry Hills</v>
          </cell>
          <cell r="F1007" t="str">
            <v>Sydney</v>
          </cell>
          <cell r="G1007" t="str">
            <v>NSW</v>
          </cell>
          <cell r="H1007" t="str">
            <v>Home Office</v>
          </cell>
          <cell r="I1007" t="str">
            <v>Phoebe Gour</v>
          </cell>
          <cell r="J1007" t="str">
            <v>High</v>
          </cell>
          <cell r="K1007" t="str">
            <v>Alto Perma 2700 Stacking Storage Drawers</v>
          </cell>
          <cell r="L1007" t="str">
            <v>Office Supplies</v>
          </cell>
          <cell r="M1007" t="str">
            <v>Small Box</v>
          </cell>
          <cell r="N1007" t="str">
            <v>Regular Air</v>
          </cell>
          <cell r="O1007">
            <v>42719</v>
          </cell>
          <cell r="P1007">
            <v>8.92</v>
          </cell>
          <cell r="Q1007">
            <v>29.74</v>
          </cell>
          <cell r="R1007">
            <v>20.82</v>
          </cell>
          <cell r="S1007">
            <v>22</v>
          </cell>
          <cell r="T1007">
            <v>654.28</v>
          </cell>
          <cell r="V1007">
            <v>45.799600000000005</v>
          </cell>
          <cell r="W1007">
            <v>608.48039999999992</v>
          </cell>
          <cell r="X1007">
            <v>6.64</v>
          </cell>
          <cell r="Y1007">
            <v>615.1203999999999</v>
          </cell>
        </row>
        <row r="1008">
          <cell r="A1008" t="str">
            <v>6530-1</v>
          </cell>
          <cell r="B1008">
            <v>42719</v>
          </cell>
          <cell r="C1008" t="str">
            <v>2016</v>
          </cell>
          <cell r="D1008" t="str">
            <v>Monica Federle</v>
          </cell>
          <cell r="E1008" t="str">
            <v>834 Bourke St,Waterloo</v>
          </cell>
          <cell r="F1008" t="str">
            <v>Sydney</v>
          </cell>
          <cell r="G1008" t="str">
            <v>NSW</v>
          </cell>
          <cell r="H1008" t="str">
            <v>Corporate</v>
          </cell>
          <cell r="I1008" t="str">
            <v>Charlie Bui</v>
          </cell>
          <cell r="J1008" t="str">
            <v>Low</v>
          </cell>
          <cell r="K1008" t="str">
            <v>Aluminum Document Frame</v>
          </cell>
          <cell r="L1008" t="str">
            <v>Furniture</v>
          </cell>
          <cell r="M1008" t="str">
            <v>Small Pack</v>
          </cell>
          <cell r="N1008" t="str">
            <v>Express Air</v>
          </cell>
          <cell r="O1008">
            <v>42728</v>
          </cell>
          <cell r="P1008">
            <v>5.5</v>
          </cell>
          <cell r="Q1008">
            <v>12.22</v>
          </cell>
          <cell r="R1008">
            <v>6.7200000000000006</v>
          </cell>
          <cell r="S1008">
            <v>17</v>
          </cell>
          <cell r="T1008">
            <v>207.74</v>
          </cell>
          <cell r="V1008">
            <v>2.0773999999999999</v>
          </cell>
          <cell r="W1008">
            <v>205.6626</v>
          </cell>
          <cell r="X1008">
            <v>2.85</v>
          </cell>
          <cell r="Y1008">
            <v>208.51259999999999</v>
          </cell>
        </row>
        <row r="1009">
          <cell r="A1009" t="str">
            <v>6531-1</v>
          </cell>
          <cell r="B1009">
            <v>42721</v>
          </cell>
          <cell r="C1009" t="str">
            <v>2016</v>
          </cell>
          <cell r="D1009" t="str">
            <v>Theresa Coyne</v>
          </cell>
          <cell r="E1009" t="str">
            <v>3/219 Canley Vale Road,Canley Heights</v>
          </cell>
          <cell r="F1009" t="str">
            <v>Sydney</v>
          </cell>
          <cell r="G1009" t="str">
            <v>NSW</v>
          </cell>
          <cell r="H1009" t="str">
            <v>Home Office</v>
          </cell>
          <cell r="I1009" t="str">
            <v>Tina Carlton</v>
          </cell>
          <cell r="J1009" t="str">
            <v>High</v>
          </cell>
          <cell r="K1009" t="str">
            <v>EcoTones Memo Sheets</v>
          </cell>
          <cell r="L1009" t="str">
            <v>Office Supplies</v>
          </cell>
          <cell r="M1009" t="str">
            <v>Wrap Bag</v>
          </cell>
          <cell r="N1009" t="str">
            <v>Regular Air</v>
          </cell>
          <cell r="O1009">
            <v>42723</v>
          </cell>
          <cell r="P1009">
            <v>2.52</v>
          </cell>
          <cell r="Q1009">
            <v>4</v>
          </cell>
          <cell r="R1009">
            <v>1.48</v>
          </cell>
          <cell r="S1009">
            <v>28</v>
          </cell>
          <cell r="T1009">
            <v>112</v>
          </cell>
          <cell r="V1009">
            <v>4.4800000000000004</v>
          </cell>
          <cell r="W1009">
            <v>107.52</v>
          </cell>
          <cell r="X1009">
            <v>1.3</v>
          </cell>
          <cell r="Y1009">
            <v>108.82</v>
          </cell>
        </row>
        <row r="1010">
          <cell r="A1010" t="str">
            <v>6532-1</v>
          </cell>
          <cell r="B1010">
            <v>42722</v>
          </cell>
          <cell r="C1010" t="str">
            <v>2016</v>
          </cell>
          <cell r="D1010" t="str">
            <v>Christopher Martinez</v>
          </cell>
          <cell r="E1010" t="str">
            <v>29 Wellington Street</v>
          </cell>
          <cell r="F1010" t="str">
            <v>Perth</v>
          </cell>
          <cell r="G1010" t="str">
            <v>WA</v>
          </cell>
          <cell r="H1010" t="str">
            <v>Home Office</v>
          </cell>
          <cell r="I1010" t="str">
            <v>Tina Carlton</v>
          </cell>
          <cell r="J1010" t="str">
            <v>Critical</v>
          </cell>
          <cell r="K1010" t="str">
            <v>Apex Box Cutter Scissors</v>
          </cell>
          <cell r="L1010" t="str">
            <v>Office Supplies</v>
          </cell>
          <cell r="M1010" t="str">
            <v>Small Pack</v>
          </cell>
          <cell r="N1010" t="str">
            <v>Regular Air</v>
          </cell>
          <cell r="O1010">
            <v>42723</v>
          </cell>
          <cell r="P1010">
            <v>4.1900000000000004</v>
          </cell>
          <cell r="Q1010">
            <v>10.23</v>
          </cell>
          <cell r="R1010">
            <v>6.04</v>
          </cell>
          <cell r="S1010">
            <v>19</v>
          </cell>
          <cell r="T1010">
            <v>194.37</v>
          </cell>
          <cell r="V1010">
            <v>9.7185000000000006</v>
          </cell>
          <cell r="W1010">
            <v>184.6515</v>
          </cell>
          <cell r="X1010">
            <v>4.68</v>
          </cell>
          <cell r="Y1010">
            <v>189.33150000000001</v>
          </cell>
        </row>
        <row r="1011">
          <cell r="A1011" t="str">
            <v>6534-1</v>
          </cell>
          <cell r="B1011">
            <v>42723</v>
          </cell>
          <cell r="C1011" t="str">
            <v>2016</v>
          </cell>
          <cell r="D1011" t="str">
            <v>Nora Price</v>
          </cell>
          <cell r="E1011" t="str">
            <v>7 Khartoum Rd,Macquarie Park</v>
          </cell>
          <cell r="F1011" t="str">
            <v>Sydney</v>
          </cell>
          <cell r="G1011" t="str">
            <v>NSW</v>
          </cell>
          <cell r="H1011" t="str">
            <v>Home Office</v>
          </cell>
          <cell r="I1011" t="str">
            <v>Preston Senome</v>
          </cell>
          <cell r="J1011" t="str">
            <v>Critical</v>
          </cell>
          <cell r="K1011" t="str">
            <v>Adesso Programmable 142-Key Keyboard</v>
          </cell>
          <cell r="L1011" t="str">
            <v>Technology</v>
          </cell>
          <cell r="M1011" t="str">
            <v>Small Box</v>
          </cell>
          <cell r="N1011" t="str">
            <v>Regular Air</v>
          </cell>
          <cell r="O1011">
            <v>42725</v>
          </cell>
          <cell r="P1011">
            <v>32.020000000000003</v>
          </cell>
          <cell r="Q1011">
            <v>152.47999999999999</v>
          </cell>
          <cell r="R1011">
            <v>120.45999999999998</v>
          </cell>
          <cell r="S1011">
            <v>12</v>
          </cell>
          <cell r="T1011">
            <v>1829.7599999999998</v>
          </cell>
          <cell r="V1011">
            <v>128.08320000000001</v>
          </cell>
          <cell r="W1011">
            <v>1701.6767999999997</v>
          </cell>
          <cell r="X1011">
            <v>4</v>
          </cell>
          <cell r="Y1011">
            <v>1705.6767999999997</v>
          </cell>
        </row>
        <row r="1012">
          <cell r="A1012" t="str">
            <v>6535-1</v>
          </cell>
          <cell r="B1012">
            <v>42725</v>
          </cell>
          <cell r="C1012" t="str">
            <v>2016</v>
          </cell>
          <cell r="D1012" t="str">
            <v>Benjamin Farhat</v>
          </cell>
          <cell r="E1012" t="str">
            <v>6 Brookman Street, Perth</v>
          </cell>
          <cell r="F1012" t="str">
            <v>Sydney</v>
          </cell>
          <cell r="G1012" t="str">
            <v>NSW</v>
          </cell>
          <cell r="H1012" t="str">
            <v>Home Office</v>
          </cell>
          <cell r="I1012" t="str">
            <v>Tina Carlton</v>
          </cell>
          <cell r="J1012" t="str">
            <v>Critical</v>
          </cell>
          <cell r="K1012" t="str">
            <v>Office Shears by Apex</v>
          </cell>
          <cell r="L1012" t="str">
            <v>Office Supplies</v>
          </cell>
          <cell r="M1012" t="str">
            <v>Small Pack</v>
          </cell>
          <cell r="N1012" t="str">
            <v>Regular Air</v>
          </cell>
          <cell r="O1012">
            <v>42726</v>
          </cell>
          <cell r="P1012">
            <v>0.94</v>
          </cell>
          <cell r="Q1012">
            <v>2.08</v>
          </cell>
          <cell r="R1012">
            <v>1.1400000000000001</v>
          </cell>
          <cell r="S1012">
            <v>49</v>
          </cell>
          <cell r="T1012">
            <v>101.92</v>
          </cell>
          <cell r="V1012">
            <v>7.1344000000000012</v>
          </cell>
          <cell r="W1012">
            <v>94.785600000000002</v>
          </cell>
          <cell r="X1012">
            <v>2.56</v>
          </cell>
          <cell r="Y1012">
            <v>97.345600000000005</v>
          </cell>
        </row>
        <row r="1013">
          <cell r="A1013" t="str">
            <v>6536-1</v>
          </cell>
          <cell r="B1013">
            <v>42726</v>
          </cell>
          <cell r="C1013" t="str">
            <v>2016</v>
          </cell>
          <cell r="D1013" t="str">
            <v>Giulietta Weimer</v>
          </cell>
          <cell r="E1013" t="str">
            <v>48 Albion St,Surry Hills</v>
          </cell>
          <cell r="F1013" t="str">
            <v>Sydney</v>
          </cell>
          <cell r="G1013" t="str">
            <v>NSW</v>
          </cell>
          <cell r="H1013" t="str">
            <v>Home Office</v>
          </cell>
          <cell r="I1013" t="str">
            <v>Natasha Song</v>
          </cell>
          <cell r="J1013" t="str">
            <v>Critical</v>
          </cell>
          <cell r="K1013" t="str">
            <v>Smiths General Use 3-Ring Binders</v>
          </cell>
          <cell r="L1013" t="str">
            <v>Office Supplies</v>
          </cell>
          <cell r="M1013" t="str">
            <v>Small Box</v>
          </cell>
          <cell r="N1013" t="str">
            <v>Regular Air</v>
          </cell>
          <cell r="O1013">
            <v>42727</v>
          </cell>
          <cell r="P1013">
            <v>1.18</v>
          </cell>
          <cell r="Q1013">
            <v>1.88</v>
          </cell>
          <cell r="R1013">
            <v>0.7</v>
          </cell>
          <cell r="S1013">
            <v>19</v>
          </cell>
          <cell r="T1013">
            <v>35.72</v>
          </cell>
          <cell r="V1013">
            <v>2.1431999999999998</v>
          </cell>
          <cell r="W1013">
            <v>33.576799999999999</v>
          </cell>
          <cell r="X1013">
            <v>1.49</v>
          </cell>
          <cell r="Y1013">
            <v>35.066800000000001</v>
          </cell>
        </row>
        <row r="1014">
          <cell r="A1014" t="str">
            <v>6538-1</v>
          </cell>
          <cell r="B1014">
            <v>42728</v>
          </cell>
          <cell r="C1014" t="str">
            <v>2016</v>
          </cell>
          <cell r="D1014" t="str">
            <v>Lisa Hazard</v>
          </cell>
          <cell r="E1014" t="str">
            <v>Cnr Williams Road &amp; Lechlade Ave,South Yarra</v>
          </cell>
          <cell r="F1014" t="str">
            <v>Melbourne</v>
          </cell>
          <cell r="G1014" t="str">
            <v>VIC</v>
          </cell>
          <cell r="H1014" t="str">
            <v>Home Office</v>
          </cell>
          <cell r="I1014" t="str">
            <v>Yvette Biti</v>
          </cell>
          <cell r="J1014" t="str">
            <v>High</v>
          </cell>
          <cell r="K1014" t="str">
            <v>Artisan Binder Labels</v>
          </cell>
          <cell r="L1014" t="str">
            <v>Office Supplies</v>
          </cell>
          <cell r="M1014" t="str">
            <v>Small Box</v>
          </cell>
          <cell r="N1014" t="str">
            <v>Regular Air</v>
          </cell>
          <cell r="O1014">
            <v>42729</v>
          </cell>
          <cell r="P1014">
            <v>2.4500000000000002</v>
          </cell>
          <cell r="Q1014">
            <v>3.89</v>
          </cell>
          <cell r="R1014">
            <v>1.44</v>
          </cell>
          <cell r="S1014">
            <v>3</v>
          </cell>
          <cell r="T1014">
            <v>11.67</v>
          </cell>
          <cell r="V1014">
            <v>0</v>
          </cell>
          <cell r="W1014">
            <v>11.67</v>
          </cell>
          <cell r="X1014">
            <v>7.01</v>
          </cell>
          <cell r="Y1014">
            <v>18.68</v>
          </cell>
        </row>
        <row r="1015">
          <cell r="A1015" t="str">
            <v>6540-1</v>
          </cell>
          <cell r="B1015">
            <v>42729</v>
          </cell>
          <cell r="C1015" t="str">
            <v>2016</v>
          </cell>
          <cell r="D1015" t="str">
            <v>Steve Nguyen</v>
          </cell>
          <cell r="E1015" t="str">
            <v>61 York St,Sydney</v>
          </cell>
          <cell r="F1015" t="str">
            <v>Sydney</v>
          </cell>
          <cell r="G1015" t="str">
            <v>NSW</v>
          </cell>
          <cell r="H1015" t="str">
            <v>Small Business</v>
          </cell>
          <cell r="I1015" t="str">
            <v>Leighton Forrest</v>
          </cell>
          <cell r="J1015" t="str">
            <v>Not Specified</v>
          </cell>
          <cell r="K1015" t="str">
            <v>Ames Color-File Green Diamond Border X-ray Mailers</v>
          </cell>
          <cell r="L1015" t="str">
            <v>Office Supplies</v>
          </cell>
          <cell r="M1015" t="str">
            <v>Small Box</v>
          </cell>
          <cell r="N1015" t="str">
            <v>Regular Air</v>
          </cell>
          <cell r="O1015">
            <v>42730</v>
          </cell>
          <cell r="P1015">
            <v>52.07</v>
          </cell>
          <cell r="Q1015">
            <v>83.98</v>
          </cell>
          <cell r="R1015">
            <v>31.910000000000004</v>
          </cell>
          <cell r="S1015">
            <v>38</v>
          </cell>
          <cell r="T1015">
            <v>3191.2400000000002</v>
          </cell>
          <cell r="V1015">
            <v>0</v>
          </cell>
          <cell r="W1015">
            <v>3191.2400000000002</v>
          </cell>
          <cell r="X1015">
            <v>5.01</v>
          </cell>
          <cell r="Y1015">
            <v>3196.2500000000005</v>
          </cell>
        </row>
        <row r="1016">
          <cell r="A1016" t="str">
            <v>6541-1</v>
          </cell>
          <cell r="B1016">
            <v>42732</v>
          </cell>
          <cell r="C1016" t="str">
            <v>2016</v>
          </cell>
          <cell r="D1016" t="str">
            <v>Cindy Chapman</v>
          </cell>
          <cell r="E1016" t="str">
            <v>101 Murray Street</v>
          </cell>
          <cell r="F1016" t="str">
            <v>Perth</v>
          </cell>
          <cell r="G1016" t="str">
            <v>WA</v>
          </cell>
          <cell r="H1016" t="str">
            <v>Consumer</v>
          </cell>
          <cell r="I1016" t="str">
            <v>Tina Carlton</v>
          </cell>
          <cell r="J1016" t="str">
            <v>High</v>
          </cell>
          <cell r="K1016" t="str">
            <v>Artisan Binding System Hidden Tab Executive Style Index Sets</v>
          </cell>
          <cell r="L1016" t="str">
            <v>Office Supplies</v>
          </cell>
          <cell r="M1016" t="str">
            <v>Small Box</v>
          </cell>
          <cell r="N1016" t="str">
            <v>Regular Air</v>
          </cell>
          <cell r="O1016">
            <v>42734</v>
          </cell>
          <cell r="P1016">
            <v>3.75</v>
          </cell>
          <cell r="Q1016">
            <v>5.77</v>
          </cell>
          <cell r="R1016">
            <v>2.0199999999999996</v>
          </cell>
          <cell r="S1016">
            <v>42</v>
          </cell>
          <cell r="T1016">
            <v>242.33999999999997</v>
          </cell>
          <cell r="V1016">
            <v>0</v>
          </cell>
          <cell r="W1016">
            <v>242.33999999999997</v>
          </cell>
          <cell r="X1016">
            <v>4.97</v>
          </cell>
          <cell r="Y1016">
            <v>247.30999999999997</v>
          </cell>
        </row>
        <row r="1017">
          <cell r="A1017" t="str">
            <v>6542-1</v>
          </cell>
          <cell r="B1017">
            <v>42732</v>
          </cell>
          <cell r="C1017" t="str">
            <v>2016</v>
          </cell>
          <cell r="D1017" t="str">
            <v>Tracy Zic</v>
          </cell>
          <cell r="E1017" t="str">
            <v>24 Addison Rd,Marrickville</v>
          </cell>
          <cell r="F1017" t="str">
            <v>Sydney</v>
          </cell>
          <cell r="G1017" t="str">
            <v>NSW</v>
          </cell>
          <cell r="H1017" t="str">
            <v>Consumer</v>
          </cell>
          <cell r="I1017" t="str">
            <v>Radhya Staples</v>
          </cell>
          <cell r="J1017" t="str">
            <v>Medium</v>
          </cell>
          <cell r="K1017" t="str">
            <v>Pizazz Drawing Pencil Set</v>
          </cell>
          <cell r="L1017" t="str">
            <v>Office Supplies</v>
          </cell>
          <cell r="M1017" t="str">
            <v>Wrap Bag</v>
          </cell>
          <cell r="N1017" t="str">
            <v>Regular Air</v>
          </cell>
          <cell r="O1017">
            <v>42733</v>
          </cell>
          <cell r="P1017">
            <v>1.17</v>
          </cell>
          <cell r="Q1017">
            <v>2.78</v>
          </cell>
          <cell r="R1017">
            <v>1.6099999999999999</v>
          </cell>
          <cell r="S1017">
            <v>48</v>
          </cell>
          <cell r="T1017">
            <v>133.44</v>
          </cell>
          <cell r="V1017">
            <v>4.0031999999999996</v>
          </cell>
          <cell r="W1017">
            <v>129.43680000000001</v>
          </cell>
          <cell r="X1017">
            <v>1.2</v>
          </cell>
          <cell r="Y1017">
            <v>130.63679999999999</v>
          </cell>
        </row>
        <row r="1018">
          <cell r="A1018" t="str">
            <v>6543-1</v>
          </cell>
          <cell r="B1018">
            <v>42732</v>
          </cell>
          <cell r="C1018" t="str">
            <v>2016</v>
          </cell>
          <cell r="D1018" t="str">
            <v>Guy Armstrong</v>
          </cell>
          <cell r="E1018" t="str">
            <v>6 Mary St,Newtown</v>
          </cell>
          <cell r="F1018" t="str">
            <v>Sydney</v>
          </cell>
          <cell r="G1018" t="str">
            <v>NSW</v>
          </cell>
          <cell r="H1018" t="str">
            <v>Corporate</v>
          </cell>
          <cell r="I1018" t="str">
            <v>Samantha Chairs</v>
          </cell>
          <cell r="J1018" t="str">
            <v>Medium</v>
          </cell>
          <cell r="K1018" t="str">
            <v>TechSavi Access Keyboard</v>
          </cell>
          <cell r="L1018" t="str">
            <v>Technology</v>
          </cell>
          <cell r="M1018" t="str">
            <v>Small Box</v>
          </cell>
          <cell r="N1018" t="str">
            <v>Regular Air</v>
          </cell>
          <cell r="O1018">
            <v>42733</v>
          </cell>
          <cell r="P1018">
            <v>10.07</v>
          </cell>
          <cell r="Q1018">
            <v>15.98</v>
          </cell>
          <cell r="R1018">
            <v>5.91</v>
          </cell>
          <cell r="S1018">
            <v>14</v>
          </cell>
          <cell r="T1018">
            <v>223.72</v>
          </cell>
          <cell r="V1018">
            <v>11.186</v>
          </cell>
          <cell r="W1018">
            <v>212.53399999999999</v>
          </cell>
          <cell r="X1018">
            <v>4</v>
          </cell>
          <cell r="Y1018">
            <v>216.53399999999999</v>
          </cell>
        </row>
        <row r="1019">
          <cell r="A1019" t="str">
            <v>6544-1</v>
          </cell>
          <cell r="B1019">
            <v>42735</v>
          </cell>
          <cell r="C1019" t="str">
            <v>2016</v>
          </cell>
          <cell r="D1019" t="str">
            <v>Shahid Shariari</v>
          </cell>
          <cell r="E1019" t="str">
            <v>3/219 Canley Vale Road,Canley Heights</v>
          </cell>
          <cell r="F1019" t="str">
            <v>Sydney</v>
          </cell>
          <cell r="G1019" t="str">
            <v>NSW</v>
          </cell>
          <cell r="H1019" t="str">
            <v>Corporate</v>
          </cell>
          <cell r="I1019" t="str">
            <v>Mihael Khan</v>
          </cell>
          <cell r="J1019" t="str">
            <v>Low</v>
          </cell>
          <cell r="K1019" t="str">
            <v>Smiths General Use 3-Ring Binders</v>
          </cell>
          <cell r="L1019" t="str">
            <v>Office Supplies</v>
          </cell>
          <cell r="M1019" t="str">
            <v>Small Box</v>
          </cell>
          <cell r="N1019" t="str">
            <v>Regular Air</v>
          </cell>
          <cell r="O1019">
            <v>42739</v>
          </cell>
          <cell r="P1019">
            <v>1.18</v>
          </cell>
          <cell r="Q1019">
            <v>1.88</v>
          </cell>
          <cell r="R1019">
            <v>0.7</v>
          </cell>
          <cell r="S1019">
            <v>22</v>
          </cell>
          <cell r="T1019">
            <v>41.36</v>
          </cell>
          <cell r="V1019">
            <v>1.6544000000000001</v>
          </cell>
          <cell r="W1019">
            <v>39.705599999999997</v>
          </cell>
          <cell r="X1019">
            <v>1.49</v>
          </cell>
          <cell r="Y1019">
            <v>41.195599999999999</v>
          </cell>
        </row>
        <row r="1020">
          <cell r="A1020" t="str">
            <v>6546-1</v>
          </cell>
          <cell r="B1020">
            <v>42738</v>
          </cell>
          <cell r="C1020" t="str">
            <v>2017</v>
          </cell>
          <cell r="D1020" t="str">
            <v>Julia Barnett</v>
          </cell>
          <cell r="E1020" t="str">
            <v>485 Crown St,Surry Hills</v>
          </cell>
          <cell r="F1020" t="str">
            <v>Sydney</v>
          </cell>
          <cell r="G1020" t="str">
            <v>NSW</v>
          </cell>
          <cell r="H1020" t="str">
            <v>Home Office</v>
          </cell>
          <cell r="I1020" t="str">
            <v>Leighton Forrest</v>
          </cell>
          <cell r="J1020" t="str">
            <v>Not Specified</v>
          </cell>
          <cell r="K1020" t="str">
            <v>Adesso Programmable 142-Key Keyboard</v>
          </cell>
          <cell r="L1020" t="str">
            <v>Technology</v>
          </cell>
          <cell r="M1020" t="str">
            <v>Small Box</v>
          </cell>
          <cell r="N1020" t="str">
            <v>Regular Air</v>
          </cell>
          <cell r="O1020">
            <v>42739</v>
          </cell>
          <cell r="P1020">
            <v>32.020000000000003</v>
          </cell>
          <cell r="Q1020">
            <v>152.47999999999999</v>
          </cell>
          <cell r="R1020">
            <v>120.45999999999998</v>
          </cell>
          <cell r="S1020">
            <v>46</v>
          </cell>
          <cell r="T1020">
            <v>7014.08</v>
          </cell>
          <cell r="V1020">
            <v>280.56319999999999</v>
          </cell>
          <cell r="W1020">
            <v>6733.5168000000003</v>
          </cell>
          <cell r="X1020">
            <v>4</v>
          </cell>
          <cell r="Y1020">
            <v>6737.5168000000003</v>
          </cell>
        </row>
        <row r="1021">
          <cell r="A1021" t="str">
            <v>6548-1</v>
          </cell>
          <cell r="B1021">
            <v>42739</v>
          </cell>
          <cell r="C1021" t="str">
            <v>2017</v>
          </cell>
          <cell r="D1021" t="str">
            <v>Muhammed Yedwab</v>
          </cell>
          <cell r="E1021" t="str">
            <v>18 Whistler St,Sydney</v>
          </cell>
          <cell r="F1021" t="str">
            <v>Sydney</v>
          </cell>
          <cell r="G1021" t="str">
            <v>NSW</v>
          </cell>
          <cell r="H1021" t="str">
            <v>Consumer</v>
          </cell>
          <cell r="I1021" t="str">
            <v>Nicholas Fernandes</v>
          </cell>
          <cell r="K1021" t="str">
            <v>Artisan 474 Labels</v>
          </cell>
          <cell r="L1021" t="str">
            <v>Office Supplies</v>
          </cell>
          <cell r="M1021" t="str">
            <v>Small Box</v>
          </cell>
          <cell r="N1021" t="str">
            <v>Regular Air</v>
          </cell>
          <cell r="O1021">
            <v>42740</v>
          </cell>
          <cell r="P1021">
            <v>1.84</v>
          </cell>
          <cell r="Q1021">
            <v>2.88</v>
          </cell>
          <cell r="R1021">
            <v>1.0399999999999998</v>
          </cell>
          <cell r="S1021">
            <v>26</v>
          </cell>
          <cell r="T1021">
            <v>74.88</v>
          </cell>
          <cell r="V1021">
            <v>0.74880000000000002</v>
          </cell>
          <cell r="W1021">
            <v>74.131199999999993</v>
          </cell>
          <cell r="X1021">
            <v>0.99</v>
          </cell>
          <cell r="Y1021">
            <v>75.121199999999988</v>
          </cell>
        </row>
        <row r="1022">
          <cell r="A1022" t="str">
            <v>6550-1</v>
          </cell>
          <cell r="B1022">
            <v>42739</v>
          </cell>
          <cell r="C1022" t="str">
            <v>2017</v>
          </cell>
          <cell r="D1022" t="str">
            <v>Cynthia Arntzen</v>
          </cell>
          <cell r="E1022" t="str">
            <v>Hoyts Entertainment Quarter 122 Lang Road,Moore Park</v>
          </cell>
          <cell r="F1022" t="str">
            <v>Sydney</v>
          </cell>
          <cell r="G1022" t="str">
            <v>NSW</v>
          </cell>
          <cell r="H1022" t="str">
            <v>Small Business</v>
          </cell>
          <cell r="I1022" t="str">
            <v>Tina Carlton</v>
          </cell>
          <cell r="J1022" t="str">
            <v>Medium</v>
          </cell>
          <cell r="K1022" t="str">
            <v>Smiths Metal Binder Clips</v>
          </cell>
          <cell r="L1022" t="str">
            <v>Office Supplies</v>
          </cell>
          <cell r="M1022" t="str">
            <v>Wrap Bag</v>
          </cell>
          <cell r="N1022" t="str">
            <v>Regular Air</v>
          </cell>
          <cell r="O1022">
            <v>42741</v>
          </cell>
          <cell r="P1022">
            <v>1.6</v>
          </cell>
          <cell r="Q1022">
            <v>2.62</v>
          </cell>
          <cell r="R1022">
            <v>1.02</v>
          </cell>
          <cell r="S1022">
            <v>35</v>
          </cell>
          <cell r="T1022">
            <v>91.7</v>
          </cell>
          <cell r="V1022">
            <v>3.6680000000000001</v>
          </cell>
          <cell r="W1022">
            <v>88.031999999999996</v>
          </cell>
          <cell r="X1022">
            <v>0.8</v>
          </cell>
          <cell r="Y1022">
            <v>88.831999999999994</v>
          </cell>
        </row>
        <row r="1023">
          <cell r="A1023" t="str">
            <v>6552-1</v>
          </cell>
          <cell r="B1023">
            <v>42741</v>
          </cell>
          <cell r="C1023" t="str">
            <v>2017</v>
          </cell>
          <cell r="D1023" t="str">
            <v>Stephanie Phelps</v>
          </cell>
          <cell r="E1023" t="str">
            <v>324A King St,Newtown</v>
          </cell>
          <cell r="F1023" t="str">
            <v>Sydney</v>
          </cell>
          <cell r="G1023" t="str">
            <v>NSW</v>
          </cell>
          <cell r="H1023" t="str">
            <v>Consumer</v>
          </cell>
          <cell r="I1023" t="str">
            <v>Mihael Khan</v>
          </cell>
          <cell r="J1023" t="str">
            <v>Medium</v>
          </cell>
          <cell r="K1023" t="str">
            <v>TechSavi Cordless Elite Duo</v>
          </cell>
          <cell r="L1023" t="str">
            <v>Technology</v>
          </cell>
          <cell r="M1023" t="str">
            <v>Small Box</v>
          </cell>
          <cell r="N1023" t="str">
            <v>Regular Air</v>
          </cell>
          <cell r="O1023">
            <v>42742</v>
          </cell>
          <cell r="P1023">
            <v>60.59</v>
          </cell>
          <cell r="Q1023">
            <v>100.98</v>
          </cell>
          <cell r="R1023">
            <v>40.39</v>
          </cell>
          <cell r="S1023">
            <v>12</v>
          </cell>
          <cell r="T1023">
            <v>1211.76</v>
          </cell>
          <cell r="V1023">
            <v>0</v>
          </cell>
          <cell r="W1023">
            <v>1211.76</v>
          </cell>
          <cell r="X1023">
            <v>7.18</v>
          </cell>
          <cell r="Y1023">
            <v>1218.94</v>
          </cell>
        </row>
        <row r="1024">
          <cell r="A1024" t="str">
            <v>6553-1</v>
          </cell>
          <cell r="B1024">
            <v>42745</v>
          </cell>
          <cell r="C1024" t="str">
            <v>2017</v>
          </cell>
          <cell r="D1024" t="str">
            <v>Dave Hallsten</v>
          </cell>
          <cell r="E1024" t="str">
            <v>1 John St,Waterloo</v>
          </cell>
          <cell r="F1024" t="str">
            <v>Sydney</v>
          </cell>
          <cell r="G1024" t="str">
            <v>NSW</v>
          </cell>
          <cell r="H1024" t="str">
            <v>Home Office</v>
          </cell>
          <cell r="I1024" t="str">
            <v>Charlie Bui</v>
          </cell>
          <cell r="J1024" t="str">
            <v>Medium</v>
          </cell>
          <cell r="K1024" t="str">
            <v>Artisan 474 Labels</v>
          </cell>
          <cell r="L1024" t="str">
            <v>Office Supplies</v>
          </cell>
          <cell r="M1024" t="str">
            <v>Small Box</v>
          </cell>
          <cell r="N1024" t="str">
            <v>Regular Air</v>
          </cell>
          <cell r="O1024">
            <v>42746</v>
          </cell>
          <cell r="P1024">
            <v>1.84</v>
          </cell>
          <cell r="Q1024">
            <v>2.88</v>
          </cell>
          <cell r="R1024">
            <v>1.0399999999999998</v>
          </cell>
          <cell r="S1024">
            <v>22</v>
          </cell>
          <cell r="T1024">
            <v>63.36</v>
          </cell>
          <cell r="V1024">
            <v>1.2672000000000001</v>
          </cell>
          <cell r="W1024">
            <v>62.092799999999997</v>
          </cell>
          <cell r="X1024">
            <v>0.99</v>
          </cell>
          <cell r="Y1024">
            <v>63.082799999999999</v>
          </cell>
        </row>
        <row r="1025">
          <cell r="A1025" t="str">
            <v>6555-1</v>
          </cell>
          <cell r="B1025">
            <v>42746</v>
          </cell>
          <cell r="C1025" t="str">
            <v>2017</v>
          </cell>
          <cell r="D1025" t="str">
            <v>Bart Watters</v>
          </cell>
          <cell r="E1025" t="str">
            <v>27/580 Hay Street, Perth</v>
          </cell>
          <cell r="F1025" t="str">
            <v>Sydney</v>
          </cell>
          <cell r="G1025" t="str">
            <v>NSW</v>
          </cell>
          <cell r="H1025" t="str">
            <v>Corporate</v>
          </cell>
          <cell r="I1025" t="str">
            <v>Nicholas Fernandes</v>
          </cell>
          <cell r="J1025" t="str">
            <v>Critical</v>
          </cell>
          <cell r="K1025" t="str">
            <v>Apex Straight Scissors</v>
          </cell>
          <cell r="L1025" t="str">
            <v>Office Supplies</v>
          </cell>
          <cell r="M1025" t="str">
            <v>Small Pack</v>
          </cell>
          <cell r="N1025" t="str">
            <v>Regular Air</v>
          </cell>
          <cell r="O1025">
            <v>42748</v>
          </cell>
          <cell r="P1025">
            <v>5.19</v>
          </cell>
          <cell r="Q1025">
            <v>12.98</v>
          </cell>
          <cell r="R1025">
            <v>7.79</v>
          </cell>
          <cell r="S1025">
            <v>49</v>
          </cell>
          <cell r="T1025">
            <v>636.02</v>
          </cell>
          <cell r="V1025">
            <v>12.7204</v>
          </cell>
          <cell r="W1025">
            <v>623.29959999999994</v>
          </cell>
          <cell r="X1025">
            <v>3.14</v>
          </cell>
          <cell r="Y1025">
            <v>626.43959999999993</v>
          </cell>
        </row>
        <row r="1026">
          <cell r="A1026" t="str">
            <v>6557-1</v>
          </cell>
          <cell r="B1026">
            <v>42749</v>
          </cell>
          <cell r="C1026" t="str">
            <v>2017</v>
          </cell>
          <cell r="D1026" t="str">
            <v>Patrick ODonnell</v>
          </cell>
          <cell r="E1026" t="str">
            <v>21 Wentworth St,Parramatta</v>
          </cell>
          <cell r="F1026" t="str">
            <v>Sydney</v>
          </cell>
          <cell r="G1026" t="str">
            <v>NSW</v>
          </cell>
          <cell r="H1026" t="str">
            <v>Home Office</v>
          </cell>
          <cell r="I1026" t="str">
            <v>Aanya Zhang</v>
          </cell>
          <cell r="J1026" t="str">
            <v>Medium</v>
          </cell>
          <cell r="K1026" t="str">
            <v>Artisan Poly Binder Pockets</v>
          </cell>
          <cell r="L1026" t="str">
            <v>Office Supplies</v>
          </cell>
          <cell r="M1026" t="str">
            <v>Small Box</v>
          </cell>
          <cell r="N1026" t="str">
            <v>Regular Air</v>
          </cell>
          <cell r="O1026">
            <v>42750</v>
          </cell>
          <cell r="P1026">
            <v>2.2599999999999998</v>
          </cell>
          <cell r="Q1026">
            <v>3.58</v>
          </cell>
          <cell r="R1026">
            <v>1.3200000000000003</v>
          </cell>
          <cell r="S1026">
            <v>38</v>
          </cell>
          <cell r="T1026">
            <v>136.04</v>
          </cell>
          <cell r="V1026">
            <v>4.0811999999999999</v>
          </cell>
          <cell r="W1026">
            <v>131.9588</v>
          </cell>
          <cell r="X1026">
            <v>5.47</v>
          </cell>
          <cell r="Y1026">
            <v>137.4288</v>
          </cell>
        </row>
        <row r="1027">
          <cell r="A1027" t="str">
            <v>6558-1</v>
          </cell>
          <cell r="B1027">
            <v>42752</v>
          </cell>
          <cell r="C1027" t="str">
            <v>2017</v>
          </cell>
          <cell r="D1027" t="str">
            <v>Ann Steele</v>
          </cell>
          <cell r="E1027" t="str">
            <v>101 Murray Street, Perth</v>
          </cell>
          <cell r="F1027" t="str">
            <v>Sydney</v>
          </cell>
          <cell r="G1027" t="str">
            <v>NSW</v>
          </cell>
          <cell r="H1027" t="str">
            <v>Corporate</v>
          </cell>
          <cell r="I1027" t="str">
            <v>Nicholas Fernandes</v>
          </cell>
          <cell r="J1027" t="str">
            <v>Critical</v>
          </cell>
          <cell r="K1027" t="str">
            <v>Alto Parchment Paper, Assorted Colors</v>
          </cell>
          <cell r="L1027" t="str">
            <v>Office Supplies</v>
          </cell>
          <cell r="M1027" t="str">
            <v>Small Box</v>
          </cell>
          <cell r="N1027" t="str">
            <v>Regular Air</v>
          </cell>
          <cell r="O1027">
            <v>42753</v>
          </cell>
          <cell r="P1027">
            <v>4.59</v>
          </cell>
          <cell r="Q1027">
            <v>7.28</v>
          </cell>
          <cell r="R1027">
            <v>2.6900000000000004</v>
          </cell>
          <cell r="S1027">
            <v>39</v>
          </cell>
          <cell r="T1027">
            <v>283.92</v>
          </cell>
          <cell r="V1027">
            <v>22.713600000000003</v>
          </cell>
          <cell r="W1027">
            <v>261.20640000000003</v>
          </cell>
          <cell r="X1027">
            <v>11.15</v>
          </cell>
          <cell r="Y1027">
            <v>272.35640000000001</v>
          </cell>
        </row>
        <row r="1028">
          <cell r="A1028" t="str">
            <v>6560-1</v>
          </cell>
          <cell r="B1028">
            <v>42753</v>
          </cell>
          <cell r="C1028" t="str">
            <v>2017</v>
          </cell>
          <cell r="D1028" t="str">
            <v>Sung Chung</v>
          </cell>
          <cell r="E1028" t="str">
            <v>127 Liverpool St,Sydney</v>
          </cell>
          <cell r="F1028" t="str">
            <v>Sydney</v>
          </cell>
          <cell r="G1028" t="str">
            <v>NSW</v>
          </cell>
          <cell r="H1028" t="str">
            <v>Home Office</v>
          </cell>
          <cell r="I1028" t="str">
            <v>Samantha Chairs</v>
          </cell>
          <cell r="J1028" t="str">
            <v>Not Specified</v>
          </cell>
          <cell r="K1028" t="str">
            <v>OIC Thumb-Tacks</v>
          </cell>
          <cell r="L1028" t="str">
            <v>Office Supplies</v>
          </cell>
          <cell r="M1028" t="str">
            <v>Wrap Bag</v>
          </cell>
          <cell r="N1028" t="str">
            <v>Express Air</v>
          </cell>
          <cell r="O1028">
            <v>42755</v>
          </cell>
          <cell r="P1028">
            <v>0.71</v>
          </cell>
          <cell r="Q1028">
            <v>1.1399999999999999</v>
          </cell>
          <cell r="R1028">
            <v>0.42999999999999994</v>
          </cell>
          <cell r="S1028">
            <v>14</v>
          </cell>
          <cell r="T1028">
            <v>15.959999999999999</v>
          </cell>
          <cell r="V1028">
            <v>0</v>
          </cell>
          <cell r="W1028">
            <v>15.959999999999999</v>
          </cell>
          <cell r="X1028">
            <v>0.7</v>
          </cell>
          <cell r="Y1028">
            <v>16.66</v>
          </cell>
        </row>
        <row r="1029">
          <cell r="A1029" t="str">
            <v>6561-1</v>
          </cell>
          <cell r="B1029">
            <v>42754</v>
          </cell>
          <cell r="C1029" t="str">
            <v>2017</v>
          </cell>
          <cell r="D1029" t="str">
            <v>Luke Weiss</v>
          </cell>
          <cell r="E1029" t="str">
            <v>88 Oxford St,Woollahra</v>
          </cell>
          <cell r="F1029" t="str">
            <v>Sydney</v>
          </cell>
          <cell r="G1029" t="str">
            <v>NSW</v>
          </cell>
          <cell r="H1029" t="str">
            <v>Corporate</v>
          </cell>
          <cell r="I1029" t="str">
            <v>Charlie Bui</v>
          </cell>
          <cell r="J1029" t="str">
            <v>Not Specified</v>
          </cell>
          <cell r="K1029" t="str">
            <v>1726 Digital Answering Machine</v>
          </cell>
          <cell r="L1029" t="str">
            <v>Technology</v>
          </cell>
          <cell r="M1029" t="str">
            <v>Medium Box</v>
          </cell>
          <cell r="N1029" t="str">
            <v>Regular Air</v>
          </cell>
          <cell r="O1029">
            <v>42756</v>
          </cell>
          <cell r="P1029">
            <v>8.82</v>
          </cell>
          <cell r="Q1029">
            <v>20.99</v>
          </cell>
          <cell r="R1029">
            <v>12.169999999999998</v>
          </cell>
          <cell r="S1029">
            <v>29</v>
          </cell>
          <cell r="T1029">
            <v>608.70999999999992</v>
          </cell>
          <cell r="V1029">
            <v>18.261299999999999</v>
          </cell>
          <cell r="W1029">
            <v>590.44869999999992</v>
          </cell>
          <cell r="X1029">
            <v>4.8099999999999996</v>
          </cell>
          <cell r="Y1029">
            <v>595.25869999999986</v>
          </cell>
        </row>
        <row r="1030">
          <cell r="A1030" t="str">
            <v>6562-1</v>
          </cell>
          <cell r="B1030">
            <v>42754</v>
          </cell>
          <cell r="C1030" t="str">
            <v>2017</v>
          </cell>
          <cell r="D1030" t="str">
            <v>Laurel Workman</v>
          </cell>
          <cell r="E1030" t="str">
            <v>38/133-145 Castlereagh St,Sydney</v>
          </cell>
          <cell r="F1030" t="str">
            <v>Sydney</v>
          </cell>
          <cell r="G1030" t="str">
            <v>NSW</v>
          </cell>
          <cell r="H1030" t="str">
            <v>Home Office</v>
          </cell>
          <cell r="I1030" t="str">
            <v>Natasha Song</v>
          </cell>
          <cell r="J1030" t="str">
            <v>Medium</v>
          </cell>
          <cell r="K1030" t="str">
            <v>Apex Straight Scissors</v>
          </cell>
          <cell r="L1030" t="str">
            <v>Office Supplies</v>
          </cell>
          <cell r="M1030" t="str">
            <v>Small Pack</v>
          </cell>
          <cell r="N1030" t="str">
            <v>Express Air</v>
          </cell>
          <cell r="O1030">
            <v>42756</v>
          </cell>
          <cell r="P1030">
            <v>5.19</v>
          </cell>
          <cell r="Q1030">
            <v>12.98</v>
          </cell>
          <cell r="R1030">
            <v>7.79</v>
          </cell>
          <cell r="S1030">
            <v>10</v>
          </cell>
          <cell r="T1030">
            <v>129.80000000000001</v>
          </cell>
          <cell r="V1030">
            <v>6.4900000000000011</v>
          </cell>
          <cell r="W1030">
            <v>123.31000000000002</v>
          </cell>
          <cell r="X1030">
            <v>3.14</v>
          </cell>
          <cell r="Y1030">
            <v>126.45000000000002</v>
          </cell>
        </row>
        <row r="1031">
          <cell r="A1031" t="str">
            <v>6564-1</v>
          </cell>
          <cell r="B1031">
            <v>42754</v>
          </cell>
          <cell r="C1031" t="str">
            <v>2017</v>
          </cell>
          <cell r="D1031" t="str">
            <v>Carol Darley</v>
          </cell>
          <cell r="E1031" t="str">
            <v>Crown Complex,Southbank</v>
          </cell>
          <cell r="F1031" t="str">
            <v>Melbourne</v>
          </cell>
          <cell r="G1031" t="str">
            <v>VIC</v>
          </cell>
          <cell r="H1031" t="str">
            <v>Small Business</v>
          </cell>
          <cell r="I1031" t="str">
            <v>Yvette Biti</v>
          </cell>
          <cell r="J1031" t="str">
            <v>Low</v>
          </cell>
          <cell r="K1031" t="str">
            <v>Smiths Colored Interoffice Envelopes</v>
          </cell>
          <cell r="L1031" t="str">
            <v>Office Supplies</v>
          </cell>
          <cell r="M1031" t="str">
            <v>Small Box</v>
          </cell>
          <cell r="N1031" t="str">
            <v>Express Air</v>
          </cell>
          <cell r="O1031">
            <v>42761</v>
          </cell>
          <cell r="P1031">
            <v>19.829999999999998</v>
          </cell>
          <cell r="Q1031">
            <v>30.98</v>
          </cell>
          <cell r="R1031">
            <v>11.150000000000002</v>
          </cell>
          <cell r="S1031">
            <v>41</v>
          </cell>
          <cell r="T1031">
            <v>1270.18</v>
          </cell>
          <cell r="V1031">
            <v>50.807200000000002</v>
          </cell>
          <cell r="W1031">
            <v>1219.3728000000001</v>
          </cell>
          <cell r="X1031">
            <v>19.510000000000002</v>
          </cell>
          <cell r="Y1031">
            <v>1238.8828000000001</v>
          </cell>
        </row>
        <row r="1032">
          <cell r="A1032" t="str">
            <v>6565-1</v>
          </cell>
          <cell r="B1032">
            <v>42755</v>
          </cell>
          <cell r="C1032" t="str">
            <v>2017</v>
          </cell>
          <cell r="D1032" t="str">
            <v>Julia Barnett</v>
          </cell>
          <cell r="E1032" t="str">
            <v>485 Crown St,Surry Hills</v>
          </cell>
          <cell r="F1032" t="str">
            <v>Sydney</v>
          </cell>
          <cell r="G1032" t="str">
            <v>NSW</v>
          </cell>
          <cell r="H1032" t="str">
            <v>Corporate</v>
          </cell>
          <cell r="I1032" t="str">
            <v>Leighton Forrest</v>
          </cell>
          <cell r="J1032" t="str">
            <v>Not Specified</v>
          </cell>
          <cell r="K1032" t="str">
            <v>Alto Parchment Paper, Assorted Colors</v>
          </cell>
          <cell r="L1032" t="str">
            <v>Office Supplies</v>
          </cell>
          <cell r="M1032" t="str">
            <v>Small Box</v>
          </cell>
          <cell r="N1032" t="str">
            <v>Regular Air</v>
          </cell>
          <cell r="O1032">
            <v>42756</v>
          </cell>
          <cell r="P1032">
            <v>4.59</v>
          </cell>
          <cell r="Q1032">
            <v>7.28</v>
          </cell>
          <cell r="R1032">
            <v>2.6900000000000004</v>
          </cell>
          <cell r="S1032">
            <v>24</v>
          </cell>
          <cell r="T1032">
            <v>174.72</v>
          </cell>
          <cell r="V1032">
            <v>17.472000000000001</v>
          </cell>
          <cell r="W1032">
            <v>157.24799999999999</v>
          </cell>
          <cell r="X1032">
            <v>11.15</v>
          </cell>
          <cell r="Y1032">
            <v>168.398</v>
          </cell>
        </row>
        <row r="1033">
          <cell r="A1033" t="str">
            <v>6567-1</v>
          </cell>
          <cell r="B1033">
            <v>42758</v>
          </cell>
          <cell r="C1033" t="str">
            <v>2017</v>
          </cell>
          <cell r="D1033" t="str">
            <v>Jeremy Pistek</v>
          </cell>
          <cell r="E1033" t="str">
            <v>85-113 Dunning Ave,Roseberry</v>
          </cell>
          <cell r="F1033" t="str">
            <v>Sydney</v>
          </cell>
          <cell r="G1033" t="str">
            <v>NSW</v>
          </cell>
          <cell r="H1033" t="str">
            <v>Corporate</v>
          </cell>
          <cell r="I1033" t="str">
            <v>Mihael Khan</v>
          </cell>
          <cell r="J1033" t="str">
            <v>Not Specified</v>
          </cell>
          <cell r="K1033" t="str">
            <v>Artisan Hi-Liter Pen Style Six-Color Fluorescent Set</v>
          </cell>
          <cell r="L1033" t="str">
            <v>Office Supplies</v>
          </cell>
          <cell r="M1033" t="str">
            <v>Wrap Bag</v>
          </cell>
          <cell r="N1033" t="str">
            <v>Regular Air</v>
          </cell>
          <cell r="O1033">
            <v>42760</v>
          </cell>
          <cell r="P1033">
            <v>2.16</v>
          </cell>
          <cell r="Q1033">
            <v>3.85</v>
          </cell>
          <cell r="R1033">
            <v>1.69</v>
          </cell>
          <cell r="S1033">
            <v>18</v>
          </cell>
          <cell r="T1033">
            <v>69.3</v>
          </cell>
          <cell r="V1033">
            <v>2.7719999999999998</v>
          </cell>
          <cell r="W1033">
            <v>66.527999999999992</v>
          </cell>
          <cell r="X1033">
            <v>0.7</v>
          </cell>
          <cell r="Y1033">
            <v>67.227999999999994</v>
          </cell>
        </row>
        <row r="1034">
          <cell r="A1034" t="str">
            <v>6569-1</v>
          </cell>
          <cell r="B1034">
            <v>42759</v>
          </cell>
          <cell r="C1034" t="str">
            <v>2017</v>
          </cell>
          <cell r="D1034" t="str">
            <v>Ken Heidel</v>
          </cell>
          <cell r="E1034" t="str">
            <v>438 Victoria Avenue,Chatswood</v>
          </cell>
          <cell r="F1034" t="str">
            <v>Sydney</v>
          </cell>
          <cell r="G1034" t="str">
            <v>NSW</v>
          </cell>
          <cell r="H1034" t="str">
            <v>Corporate</v>
          </cell>
          <cell r="I1034" t="str">
            <v>Natasha Song</v>
          </cell>
          <cell r="J1034" t="str">
            <v>Not Specified</v>
          </cell>
          <cell r="K1034" t="str">
            <v>Binder Posts</v>
          </cell>
          <cell r="L1034" t="str">
            <v>Office Supplies</v>
          </cell>
          <cell r="M1034" t="str">
            <v>Small Box</v>
          </cell>
          <cell r="N1034" t="str">
            <v>Regular Air</v>
          </cell>
          <cell r="O1034">
            <v>42761</v>
          </cell>
          <cell r="P1034">
            <v>3.5</v>
          </cell>
          <cell r="Q1034">
            <v>5.74</v>
          </cell>
          <cell r="R1034">
            <v>2.2400000000000002</v>
          </cell>
          <cell r="S1034">
            <v>46</v>
          </cell>
          <cell r="T1034">
            <v>264.04000000000002</v>
          </cell>
          <cell r="V1034">
            <v>13.202000000000002</v>
          </cell>
          <cell r="W1034">
            <v>250.83800000000002</v>
          </cell>
          <cell r="X1034">
            <v>5.01</v>
          </cell>
          <cell r="Y1034">
            <v>255.84800000000001</v>
          </cell>
        </row>
        <row r="1035">
          <cell r="A1035" t="str">
            <v>6571-1</v>
          </cell>
          <cell r="B1035">
            <v>42761</v>
          </cell>
          <cell r="C1035" t="str">
            <v>2017</v>
          </cell>
          <cell r="D1035" t="str">
            <v>Harold Pawlan</v>
          </cell>
          <cell r="E1035" t="str">
            <v>180 High Street,Windsor</v>
          </cell>
          <cell r="F1035" t="str">
            <v>Melbourne</v>
          </cell>
          <cell r="G1035" t="str">
            <v>VIC</v>
          </cell>
          <cell r="H1035" t="str">
            <v>Small Business</v>
          </cell>
          <cell r="I1035" t="str">
            <v>Connor Betts</v>
          </cell>
          <cell r="J1035" t="str">
            <v>High</v>
          </cell>
          <cell r="K1035" t="str">
            <v>UGen Ultra Professional Cordless Optical Suite</v>
          </cell>
          <cell r="L1035" t="str">
            <v>Technology</v>
          </cell>
          <cell r="M1035" t="str">
            <v>Small Box</v>
          </cell>
          <cell r="N1035" t="str">
            <v>Regular Air</v>
          </cell>
          <cell r="O1035">
            <v>42762</v>
          </cell>
          <cell r="P1035">
            <v>156.5</v>
          </cell>
          <cell r="Q1035">
            <v>300.97000000000003</v>
          </cell>
          <cell r="R1035">
            <v>144.47000000000003</v>
          </cell>
          <cell r="S1035">
            <v>29</v>
          </cell>
          <cell r="T1035">
            <v>8728.130000000001</v>
          </cell>
          <cell r="V1035">
            <v>261.84390000000002</v>
          </cell>
          <cell r="W1035">
            <v>8466.2861000000012</v>
          </cell>
          <cell r="X1035">
            <v>7.18</v>
          </cell>
          <cell r="Y1035">
            <v>8473.4661000000015</v>
          </cell>
        </row>
        <row r="1036">
          <cell r="A1036" t="str">
            <v>6572-1</v>
          </cell>
          <cell r="B1036">
            <v>42762</v>
          </cell>
          <cell r="C1036" t="str">
            <v>2017</v>
          </cell>
          <cell r="D1036" t="str">
            <v>Kean Thornton</v>
          </cell>
          <cell r="E1036" t="str">
            <v>65 Palmerston Street</v>
          </cell>
          <cell r="F1036" t="str">
            <v>Perth</v>
          </cell>
          <cell r="G1036" t="str">
            <v>WA</v>
          </cell>
          <cell r="H1036" t="str">
            <v>Corporate</v>
          </cell>
          <cell r="I1036" t="str">
            <v>Natasha Song</v>
          </cell>
          <cell r="J1036" t="str">
            <v>Critical</v>
          </cell>
          <cell r="K1036" t="str">
            <v>Artisan Hole Reinforcements</v>
          </cell>
          <cell r="L1036" t="str">
            <v>Office Supplies</v>
          </cell>
          <cell r="M1036" t="str">
            <v>Small Box</v>
          </cell>
          <cell r="N1036" t="str">
            <v>Regular Air</v>
          </cell>
          <cell r="O1036">
            <v>42763</v>
          </cell>
          <cell r="P1036">
            <v>3.99</v>
          </cell>
          <cell r="Q1036">
            <v>6.23</v>
          </cell>
          <cell r="R1036">
            <v>2.2400000000000002</v>
          </cell>
          <cell r="S1036">
            <v>25</v>
          </cell>
          <cell r="T1036">
            <v>155.75</v>
          </cell>
          <cell r="V1036">
            <v>10.902500000000002</v>
          </cell>
          <cell r="W1036">
            <v>144.8475</v>
          </cell>
          <cell r="X1036">
            <v>6.97</v>
          </cell>
          <cell r="Y1036">
            <v>151.8175</v>
          </cell>
        </row>
        <row r="1037">
          <cell r="A1037" t="str">
            <v>6574-1</v>
          </cell>
          <cell r="B1037">
            <v>42765</v>
          </cell>
          <cell r="C1037" t="str">
            <v>2017</v>
          </cell>
          <cell r="D1037" t="str">
            <v>Rick Hansen</v>
          </cell>
          <cell r="E1037" t="str">
            <v>Macquarie Centre Cnr Herring Road &amp; Waterloo Road,Macquarie Park</v>
          </cell>
          <cell r="F1037" t="str">
            <v>Sydney</v>
          </cell>
          <cell r="G1037" t="str">
            <v>NSW</v>
          </cell>
          <cell r="H1037" t="str">
            <v>Home Office</v>
          </cell>
          <cell r="I1037" t="str">
            <v>Nicholas Fernandes</v>
          </cell>
          <cell r="J1037" t="str">
            <v>Not Specified</v>
          </cell>
          <cell r="K1037" t="str">
            <v>Cando S750 Color Inkjet Printer</v>
          </cell>
          <cell r="L1037" t="str">
            <v>Technology</v>
          </cell>
          <cell r="M1037" t="str">
            <v>Jumbo Drum</v>
          </cell>
          <cell r="N1037" t="str">
            <v>Delivery Truck</v>
          </cell>
          <cell r="O1037">
            <v>42768</v>
          </cell>
          <cell r="P1037">
            <v>75</v>
          </cell>
          <cell r="Q1037">
            <v>120.97</v>
          </cell>
          <cell r="R1037">
            <v>45.97</v>
          </cell>
          <cell r="S1037">
            <v>4</v>
          </cell>
          <cell r="T1037">
            <v>483.88</v>
          </cell>
          <cell r="V1037">
            <v>33.871600000000001</v>
          </cell>
          <cell r="W1037">
            <v>450.00839999999999</v>
          </cell>
          <cell r="X1037">
            <v>26.3</v>
          </cell>
          <cell r="Y1037">
            <v>476.30840000000001</v>
          </cell>
        </row>
        <row r="1038">
          <cell r="A1038" t="str">
            <v>6576-1</v>
          </cell>
          <cell r="B1038">
            <v>42767</v>
          </cell>
          <cell r="C1038" t="str">
            <v>2017</v>
          </cell>
          <cell r="D1038" t="str">
            <v>Joy Daniels</v>
          </cell>
          <cell r="E1038" t="str">
            <v>12 Princess Hwy,Sylvania</v>
          </cell>
          <cell r="F1038" t="str">
            <v>Sydney</v>
          </cell>
          <cell r="G1038" t="str">
            <v>NSW</v>
          </cell>
          <cell r="H1038" t="str">
            <v>Corporate</v>
          </cell>
          <cell r="I1038" t="str">
            <v>Nicholas Fernandes</v>
          </cell>
          <cell r="J1038" t="str">
            <v>Low</v>
          </cell>
          <cell r="K1038" t="str">
            <v>Barrel Sharpener</v>
          </cell>
          <cell r="L1038" t="str">
            <v>Office Supplies</v>
          </cell>
          <cell r="M1038" t="str">
            <v>Small Pack</v>
          </cell>
          <cell r="N1038" t="str">
            <v>Regular Air</v>
          </cell>
          <cell r="O1038">
            <v>42771</v>
          </cell>
          <cell r="P1038">
            <v>1.46</v>
          </cell>
          <cell r="Q1038">
            <v>3.57</v>
          </cell>
          <cell r="R1038">
            <v>2.11</v>
          </cell>
          <cell r="S1038">
            <v>25</v>
          </cell>
          <cell r="T1038">
            <v>89.25</v>
          </cell>
          <cell r="V1038">
            <v>0.89250000000000007</v>
          </cell>
          <cell r="W1038">
            <v>88.357500000000002</v>
          </cell>
          <cell r="X1038">
            <v>4.17</v>
          </cell>
          <cell r="Y1038">
            <v>92.527500000000003</v>
          </cell>
        </row>
        <row r="1039">
          <cell r="A1039" t="str">
            <v>6577-1</v>
          </cell>
          <cell r="B1039">
            <v>42768</v>
          </cell>
          <cell r="C1039" t="str">
            <v>2017</v>
          </cell>
          <cell r="D1039" t="str">
            <v>Cindy Chapman</v>
          </cell>
          <cell r="E1039" t="str">
            <v>101 Murray Street</v>
          </cell>
          <cell r="F1039" t="str">
            <v>Perth</v>
          </cell>
          <cell r="G1039" t="str">
            <v>WA</v>
          </cell>
          <cell r="H1039" t="str">
            <v>Corporate</v>
          </cell>
          <cell r="I1039" t="str">
            <v>Tina Carlton</v>
          </cell>
          <cell r="K1039" t="str">
            <v>Steady Major Accent Highlighters</v>
          </cell>
          <cell r="L1039" t="str">
            <v>Office Supplies</v>
          </cell>
          <cell r="M1039" t="str">
            <v>Wrap Bag</v>
          </cell>
          <cell r="N1039" t="str">
            <v>Regular Air</v>
          </cell>
          <cell r="O1039">
            <v>42770</v>
          </cell>
          <cell r="P1039">
            <v>3.75</v>
          </cell>
          <cell r="Q1039">
            <v>7.08</v>
          </cell>
          <cell r="R1039">
            <v>3.33</v>
          </cell>
          <cell r="S1039">
            <v>46</v>
          </cell>
          <cell r="T1039">
            <v>325.68</v>
          </cell>
          <cell r="V1039">
            <v>32.568000000000005</v>
          </cell>
          <cell r="W1039">
            <v>293.11200000000002</v>
          </cell>
          <cell r="X1039">
            <v>2.35</v>
          </cell>
          <cell r="Y1039">
            <v>295.46200000000005</v>
          </cell>
        </row>
        <row r="1040">
          <cell r="A1040" t="str">
            <v>6579-1</v>
          </cell>
          <cell r="B1040">
            <v>42769</v>
          </cell>
          <cell r="C1040" t="str">
            <v>2017</v>
          </cell>
          <cell r="D1040" t="str">
            <v>Alex Russell</v>
          </cell>
          <cell r="E1040" t="str">
            <v>76 Lindsay Street, Perth</v>
          </cell>
          <cell r="F1040" t="str">
            <v>Melbourne</v>
          </cell>
          <cell r="G1040" t="str">
            <v>VIC</v>
          </cell>
          <cell r="H1040" t="str">
            <v>Home Office</v>
          </cell>
          <cell r="I1040" t="str">
            <v>Connor Betts</v>
          </cell>
          <cell r="J1040" t="str">
            <v>High</v>
          </cell>
          <cell r="K1040" t="str">
            <v>Artisan 479 Labels</v>
          </cell>
          <cell r="L1040" t="str">
            <v>Office Supplies</v>
          </cell>
          <cell r="M1040" t="str">
            <v>Small Box</v>
          </cell>
          <cell r="N1040" t="str">
            <v>Regular Air</v>
          </cell>
          <cell r="O1040">
            <v>42771</v>
          </cell>
          <cell r="P1040">
            <v>1.59</v>
          </cell>
          <cell r="Q1040">
            <v>2.61</v>
          </cell>
          <cell r="R1040">
            <v>1.0199999999999998</v>
          </cell>
          <cell r="S1040">
            <v>38</v>
          </cell>
          <cell r="T1040">
            <v>99.179999999999993</v>
          </cell>
          <cell r="V1040">
            <v>3.9671999999999996</v>
          </cell>
          <cell r="W1040">
            <v>95.212799999999987</v>
          </cell>
          <cell r="X1040">
            <v>0.5</v>
          </cell>
          <cell r="Y1040">
            <v>95.712799999999987</v>
          </cell>
        </row>
        <row r="1041">
          <cell r="A1041" t="str">
            <v>6581-1</v>
          </cell>
          <cell r="B1041">
            <v>42770</v>
          </cell>
          <cell r="C1041" t="str">
            <v>2017</v>
          </cell>
          <cell r="D1041" t="str">
            <v>Roland Black</v>
          </cell>
          <cell r="E1041" t="str">
            <v>438 Victoria Avenue,Chatswood</v>
          </cell>
          <cell r="F1041" t="str">
            <v>Sydney</v>
          </cell>
          <cell r="G1041" t="str">
            <v>NSW</v>
          </cell>
          <cell r="H1041" t="str">
            <v>Small Business</v>
          </cell>
          <cell r="I1041" t="str">
            <v>Natasha Song</v>
          </cell>
          <cell r="J1041" t="str">
            <v>High</v>
          </cell>
          <cell r="K1041" t="str">
            <v>Artisan Legal 4-Ring Binder</v>
          </cell>
          <cell r="L1041" t="str">
            <v>Office Supplies</v>
          </cell>
          <cell r="M1041" t="str">
            <v>Small Box</v>
          </cell>
          <cell r="N1041" t="str">
            <v>Regular Air</v>
          </cell>
          <cell r="O1041">
            <v>42771</v>
          </cell>
          <cell r="P1041">
            <v>13.64</v>
          </cell>
          <cell r="Q1041">
            <v>20.98</v>
          </cell>
          <cell r="R1041">
            <v>7.34</v>
          </cell>
          <cell r="S1041">
            <v>41</v>
          </cell>
          <cell r="T1041">
            <v>860.18000000000006</v>
          </cell>
          <cell r="V1041">
            <v>43.009000000000007</v>
          </cell>
          <cell r="W1041">
            <v>817.17100000000005</v>
          </cell>
          <cell r="X1041">
            <v>1.49</v>
          </cell>
          <cell r="Y1041">
            <v>818.66100000000006</v>
          </cell>
        </row>
        <row r="1042">
          <cell r="A1042" t="str">
            <v>6582-1</v>
          </cell>
          <cell r="B1042">
            <v>42771</v>
          </cell>
          <cell r="C1042" t="str">
            <v>2017</v>
          </cell>
          <cell r="D1042" t="str">
            <v>Art Foster</v>
          </cell>
          <cell r="E1042" t="str">
            <v>14 Money Street, Perth</v>
          </cell>
          <cell r="F1042" t="str">
            <v>Sydney</v>
          </cell>
          <cell r="G1042" t="str">
            <v>NSW</v>
          </cell>
          <cell r="H1042" t="str">
            <v>Home Office</v>
          </cell>
          <cell r="I1042" t="str">
            <v>Stevie Bacata</v>
          </cell>
          <cell r="J1042" t="str">
            <v>Medium</v>
          </cell>
          <cell r="K1042" t="str">
            <v>Artisan Legal 4-Ring Binder</v>
          </cell>
          <cell r="L1042" t="str">
            <v>Office Supplies</v>
          </cell>
          <cell r="M1042" t="str">
            <v>Small Box</v>
          </cell>
          <cell r="N1042" t="str">
            <v>Regular Air</v>
          </cell>
          <cell r="O1042">
            <v>42773</v>
          </cell>
          <cell r="P1042">
            <v>13.64</v>
          </cell>
          <cell r="Q1042">
            <v>20.98</v>
          </cell>
          <cell r="R1042">
            <v>7.34</v>
          </cell>
          <cell r="S1042">
            <v>2</v>
          </cell>
          <cell r="T1042">
            <v>41.96</v>
          </cell>
          <cell r="V1042">
            <v>0.41960000000000003</v>
          </cell>
          <cell r="W1042">
            <v>41.540399999999998</v>
          </cell>
          <cell r="X1042">
            <v>1.49</v>
          </cell>
          <cell r="Y1042">
            <v>43.0304</v>
          </cell>
        </row>
        <row r="1043">
          <cell r="A1043" t="str">
            <v>6584-1</v>
          </cell>
          <cell r="B1043">
            <v>42773</v>
          </cell>
          <cell r="C1043" t="str">
            <v>2017</v>
          </cell>
          <cell r="D1043" t="str">
            <v>Maribeth Yedwab</v>
          </cell>
          <cell r="E1043" t="str">
            <v>240-242 Johnston Street,Fitzroy</v>
          </cell>
          <cell r="F1043" t="str">
            <v>Melbourne</v>
          </cell>
          <cell r="G1043" t="str">
            <v>VIC</v>
          </cell>
          <cell r="H1043" t="str">
            <v>Home Office</v>
          </cell>
          <cell r="I1043" t="str">
            <v>Connor Betts</v>
          </cell>
          <cell r="J1043" t="str">
            <v>Low</v>
          </cell>
          <cell r="K1043" t="str">
            <v>Beekin 105-Key Black Keyboard</v>
          </cell>
          <cell r="L1043" t="str">
            <v>Technology</v>
          </cell>
          <cell r="M1043" t="str">
            <v>Small Box</v>
          </cell>
          <cell r="N1043" t="str">
            <v>Regular Air</v>
          </cell>
          <cell r="P1043">
            <v>6.39</v>
          </cell>
          <cell r="Q1043">
            <v>19.98</v>
          </cell>
          <cell r="R1043">
            <v>13.59</v>
          </cell>
          <cell r="S1043">
            <v>31</v>
          </cell>
          <cell r="T1043">
            <v>619.38</v>
          </cell>
          <cell r="V1043">
            <v>0</v>
          </cell>
          <cell r="W1043">
            <v>619.38</v>
          </cell>
          <cell r="X1043">
            <v>4</v>
          </cell>
          <cell r="Y1043">
            <v>623.38</v>
          </cell>
        </row>
        <row r="1044">
          <cell r="A1044" t="str">
            <v>6586-1</v>
          </cell>
          <cell r="B1044">
            <v>42773</v>
          </cell>
          <cell r="C1044" t="str">
            <v>2017</v>
          </cell>
          <cell r="D1044" t="str">
            <v>Theresa Swint</v>
          </cell>
          <cell r="E1044" t="str">
            <v>240-242 Johnston Street,Fitzroy</v>
          </cell>
          <cell r="F1044" t="str">
            <v>Melbourne</v>
          </cell>
          <cell r="G1044" t="str">
            <v>VIC</v>
          </cell>
          <cell r="H1044" t="str">
            <v>Consumer</v>
          </cell>
          <cell r="I1044" t="str">
            <v>Connor Betts</v>
          </cell>
          <cell r="J1044" t="str">
            <v>Medium</v>
          </cell>
          <cell r="K1044" t="str">
            <v>Binder Clips by OIC</v>
          </cell>
          <cell r="L1044" t="str">
            <v>Office Supplies</v>
          </cell>
          <cell r="M1044" t="str">
            <v>Wrap Bag</v>
          </cell>
          <cell r="N1044" t="str">
            <v>Regular Air</v>
          </cell>
          <cell r="P1044">
            <v>0.93</v>
          </cell>
          <cell r="Q1044">
            <v>1.48</v>
          </cell>
          <cell r="R1044">
            <v>0.54999999999999993</v>
          </cell>
          <cell r="S1044">
            <v>10</v>
          </cell>
          <cell r="T1044">
            <v>14.8</v>
          </cell>
          <cell r="V1044">
            <v>1.4800000000000002</v>
          </cell>
          <cell r="W1044">
            <v>13.32</v>
          </cell>
          <cell r="X1044">
            <v>0.7</v>
          </cell>
          <cell r="Y1044">
            <v>14.02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4303.73837673611" createdVersion="7" refreshedVersion="7" minRefreshableVersion="3" recordCount="1039" xr:uid="{0037F6BA-F192-4B34-842C-F745787E5A24}">
  <cacheSource type="worksheet">
    <worksheetSource name="sales"/>
  </cacheSource>
  <cacheFields count="25">
    <cacheField name="Order No" numFmtId="0">
      <sharedItems/>
    </cacheField>
    <cacheField name="Order Date" numFmtId="14">
      <sharedItems containsSemiMixedTypes="0" containsNonDate="0" containsDate="1" containsString="0" minDate="2013-02-11T00:00:00" maxDate="2017-02-08T00:00:00"/>
    </cacheField>
    <cacheField name="Order Year" numFmtId="0">
      <sharedItems count="5">
        <s v="2013"/>
        <s v="2014"/>
        <s v="2015"/>
        <s v="2016"/>
        <s v="2017"/>
      </sharedItems>
    </cacheField>
    <cacheField name="Customer Name" numFmtId="0">
      <sharedItems count="538">
        <s v="Patrick Jones"/>
        <s v="Alex Russell"/>
        <s v="Tamara Dahlen"/>
        <s v="Susan Vittorini"/>
        <s v="Muhammed Yedwab"/>
        <s v="Olvera Toch"/>
        <s v="Sean Wendt"/>
        <s v="Rick Reed"/>
        <s v="Toby Swindell"/>
        <s v="Giulietta Weimer"/>
        <s v="Paul Prost"/>
        <s v="Katherine Ducich"/>
        <s v="Natalie Webber"/>
        <s v="Sean ODonnell"/>
        <s v="Art Foster"/>
        <s v="Darren Powers"/>
        <s v="Michael Grace"/>
        <s v="Christina Vanderzanden"/>
        <s v="Aaron Smayling"/>
        <s v="Mick Brown"/>
        <s v="Edward Becker"/>
        <s v="Erica Smith"/>
        <s v="Justin Knight"/>
        <s v="Craig Carroll"/>
        <s v="Laura Armstrong"/>
        <s v="Noah Childs"/>
        <s v="Rob Haberlin"/>
        <s v="Barry Weirich"/>
        <s v="Kelly Williams"/>
        <s v="Jack OBriant"/>
        <s v="Pamela Stobb"/>
        <s v="William Brown"/>
        <s v="Nat Carroll"/>
        <s v="Troy Staebel"/>
        <s v="Dario Medina"/>
        <s v="Lynn Smith"/>
        <s v="Christopher Schild"/>
        <s v="Dave Kipp"/>
        <s v="Grant Carroll"/>
        <s v="Liz Pelletier"/>
        <s v="Thea Hudgings"/>
        <s v="Eudokia Martin"/>
        <s v="Scot Wooten"/>
        <s v="Jenna Caffey"/>
        <s v="Brad Thomas"/>
        <s v="Roy Skaria"/>
        <s v="Brad Eason"/>
        <s v="Thais Sissman"/>
        <s v="Andy Reiter"/>
        <s v="Becky Martin"/>
        <s v="Denny Ordway"/>
        <s v="Luke Schmidt"/>
        <s v="Kelly Lampkin"/>
        <s v="Eugene Moren"/>
        <s v="Anthony Rawles"/>
        <s v="Rick Duston"/>
        <s v="Raymond Fair"/>
        <s v="Joy Smith"/>
        <s v="Jim Epp"/>
        <s v="Mike Vittorini"/>
        <s v="Neil Knudson"/>
        <s v="Deborah Brumfield"/>
        <s v="Erica Hernandez"/>
        <s v="Janet Martin"/>
        <s v="Beth Thompson"/>
        <s v="Nora Paige"/>
        <s v="Jim Kriz"/>
        <s v="Steve Nguyen"/>
        <s v="Scott Cohen"/>
        <s v="Liz MacKendrick"/>
        <s v="Carlos Meador"/>
        <s v="Giulietta Dortch"/>
        <s v="Paul Lucas"/>
        <s v="Aleksandra Gannaway"/>
        <s v="Roy Collins"/>
        <s v="Eugene Hildebrand"/>
        <s v="Adam Bellavance"/>
        <s v="Mitch Gastineau"/>
        <s v="Stuart Calhoun"/>
        <s v="Denise Leinenbach"/>
        <s v="Mitch Webber"/>
        <s v="Sara Luxemburg"/>
        <s v="Berenike Kampe"/>
        <s v="Julie Kriz"/>
        <s v="Christy Brittain"/>
        <s v="George Zrebassa"/>
        <s v="Pauline Webber"/>
        <s v="Ben Wallace"/>
        <s v="Adam Shillingsburg"/>
        <s v="Rick Hansen"/>
        <s v="Karl Brown"/>
        <s v="Eric Barreto"/>
        <s v="Charles Sheldon"/>
        <s v="Jesus Ocampo"/>
        <s v="Nick Zandusky"/>
        <s v="Corinna Mitchell"/>
        <s v="Alex Grayson"/>
        <s v="Chuck Magee"/>
        <s v="Seth Vernon"/>
        <s v="Vivian Mathis"/>
        <s v="Harold Ryan"/>
        <s v="Kean Takahito"/>
        <s v="Tony Sayre"/>
        <s v="Aaron Bergman"/>
        <s v="Edward Hooks"/>
        <s v="Liz Willingham"/>
        <s v="Dave Poirier"/>
        <s v="Valerie Dominguez"/>
        <s v="Jennifer Patt"/>
        <s v="Cynthia Arntzen"/>
        <s v="Bradley Drucker"/>
        <s v="Skye Norling"/>
        <s v="Bruce Degenhardt"/>
        <s v="John Castell"/>
        <s v="Neil French"/>
        <s v="Nancy Lomonaco"/>
        <s v="Carol Triggs"/>
        <s v="Andrew Allen"/>
        <s v="Darrin Martin"/>
        <s v="Max Ludwig"/>
        <s v="Liz Price"/>
        <s v="Grant Thornton"/>
        <s v="Victoria Brennan"/>
        <s v="Sarah Brown"/>
        <s v="Michael Granlund"/>
        <s v="Jasper Cacioppo"/>
        <s v="Marina Lichtenstein"/>
        <s v="Fred Wasserman"/>
        <s v="Ann Chong"/>
        <s v="Mick Crebagga"/>
        <s v="Chloris Kastensmidt"/>
        <s v="Maribeth Dona"/>
        <s v="Cynthia Delaney"/>
        <s v="John Dryer"/>
        <s v="Carlos Daly"/>
        <s v="Joni Wasserman"/>
        <s v="Frank Merwin"/>
        <s v="Stephanie Ulpright"/>
        <s v="Amy Cox"/>
        <s v="Sylvia Foulston"/>
        <s v="Paul MacIntyre"/>
        <s v="Cindy Stewart"/>
        <s v="Tamara Willingham"/>
        <s v="Darrin Sayre"/>
        <s v="Ed Jacobs"/>
        <s v="Dan Campbell"/>
        <s v="Shahid Shariari"/>
        <s v="Toby Knight"/>
        <s v="Sung Chung"/>
        <s v="Kristina Nunn"/>
        <s v="Jeremy Lonsdale"/>
        <s v="Victoria Pisteka"/>
        <s v="Liz Carlisle"/>
        <s v="Dennis Kane"/>
        <s v="Tom Prescott"/>
        <s v="Jas OCarroll"/>
        <s v="Peter Fuller"/>
        <s v="Erin Ashbrook"/>
        <s v="Allen Armold"/>
        <s v="Eugene Barchas"/>
        <s v="Phillip Flathmann"/>
        <s v="Thomas Boland"/>
        <s v="Justin Hirsh"/>
        <s v="Sarah Foster"/>
        <s v="Tanja Norvell"/>
        <s v="Maya Herman"/>
        <s v="Trudy Brown"/>
        <s v="Gary Hwang"/>
        <s v="Larry Tron"/>
        <s v="Bill Stewart"/>
        <s v="Joseph Airdo"/>
        <s v="Ben Peterman"/>
        <s v="Henry Goldwyn"/>
        <s v="Tony Molinari"/>
        <s v="Brian Dahlen"/>
        <s v="Don Miller"/>
        <s v="Denise Monton"/>
        <s v="Duane Huffman"/>
        <s v="Saphhira Shifley"/>
        <s v="Philip Fox"/>
        <s v="Charlotte Melton"/>
        <s v="Dionis Lloyd"/>
        <s v="Anne Pryor"/>
        <s v="Ashley Jarboe"/>
        <s v="Nat Gilpin"/>
        <s v="Sanjit Engle"/>
        <s v="Patrick OBrill"/>
        <s v="Mark Van Huff"/>
        <s v="Helen Andreada"/>
        <s v="Darrin Van Huff"/>
        <s v="Sarah Jordon"/>
        <s v="Bill Eplett"/>
        <s v="Ken Lonsdale"/>
        <s v="Michael Nguyen"/>
        <s v="Hilary Holden"/>
        <s v="Brooke Gillingham"/>
        <s v="Suzanne McNair"/>
        <s v="Mathew Reese"/>
        <s v="Logan Haushalter"/>
        <s v="Susan MacKendrick"/>
        <s v="Dennis Pardue"/>
        <s v="Elpida Rittenbach"/>
        <s v="Julie Prescott"/>
        <s v="Sandra Glassco"/>
        <s v="Yana Sorensen"/>
        <s v="Pamela Coakley"/>
        <s v="Sanjit Jacobs"/>
        <s v="Erica Hackney"/>
        <s v="Chad McGuire"/>
        <s v="Pauline Chand"/>
        <s v="Bobby Elias"/>
        <s v="Lena Radford"/>
        <s v="Edward Nazzal"/>
        <s v="Delfina Latchford"/>
        <s v="Adam Hart"/>
        <s v="Matt Collister"/>
        <s v="Troy Blackwell"/>
        <s v="Carl Ludwig"/>
        <s v="Chad Cunningham"/>
        <s v="Michael Paige"/>
        <s v="Justin Ellison"/>
        <s v="Ralph Knight"/>
        <s v="Roland Murray"/>
        <s v="Patrick Bzostek"/>
        <s v="Steve Chapman"/>
        <s v="Mike Kennedy"/>
        <s v="Harold Dahlen"/>
        <s v="Brenda Bowman"/>
        <s v="Xylona Price"/>
        <s v="Kelly Collister"/>
        <s v="Dean Percer"/>
        <s v="Anemone Ratner"/>
        <s v="Brian Stugart"/>
        <s v="Michelle Tran"/>
        <s v="Vivek Sundaresam"/>
        <s v="Tracy Blumstein"/>
        <s v="Ritsa Hightower"/>
        <s v="Michelle Moray"/>
        <s v="Jim Radford"/>
        <s v="Richard Eichhorn"/>
        <s v="Juliana Krohn"/>
        <s v="Clytie Kelty"/>
        <s v="Ken Dana"/>
        <s v="Andy Yotov"/>
        <s v="Melanie Page"/>
        <s v="Arthur Gainer"/>
        <s v="Christopher Martinez"/>
        <s v="Dianna Wilson"/>
        <s v="Lindsay Castell"/>
        <s v="Chuck Sachs"/>
        <s v="John Lee"/>
        <s v="Fred Chung"/>
        <s v="Bill Donatelli"/>
        <s v="Barry Pond"/>
        <s v="Jim Mitchum"/>
        <s v="Luke Weiss"/>
        <s v="Craig Leslie"/>
        <s v="Frank Hawley"/>
        <s v="Alejandro Ballentine"/>
        <s v="Daniel Byrd"/>
        <s v="Christine Abelman"/>
        <s v="Monica Federle"/>
        <s v="Mike Gockenbach"/>
        <s v="James Galang"/>
        <s v="Raymond Book"/>
        <s v="Bobby Odegard"/>
        <s v="Art Miller"/>
        <s v="Julia Dunbar"/>
        <s v="Gene Hale"/>
        <s v="Sonia Sunley"/>
        <s v="Philip Brown"/>
        <s v="Victoria Wilson"/>
        <s v="Maria Zettner"/>
        <s v="Keith Herrera"/>
        <s v="Mark Packer"/>
        <s v="Denny Joy"/>
        <s v="Shirley Jackson"/>
        <s v="Ed Ludwig"/>
        <s v="Carol Adams"/>
        <s v="John Lucas"/>
        <s v="Benjamin Patterson"/>
        <s v="Adrian Hane"/>
        <s v="Tonja Turnell"/>
        <s v="Dorris Love"/>
        <s v="Jill Fjeld"/>
        <s v="Maribeth Yedwab"/>
        <s v="Ruben Ausman"/>
        <s v="Odella Nelson"/>
        <s v="Kean Thornton"/>
        <s v="Jack Garza"/>
        <s v="Gary Hansen"/>
        <s v="Bart Watters"/>
        <s v="George Ashbrook"/>
        <s v="Nathan Mautz"/>
        <s v="Cindy Chapman"/>
        <s v="Charles McCrossin"/>
        <s v="Giulietta Baptist"/>
        <s v="Jamie Kunitz"/>
        <s v="Carl Jackson"/>
        <s v="Trudy Bell"/>
        <s v="Arthur Prichep"/>
        <s v="Vicky Freymann"/>
        <s v="Sam Craven"/>
        <s v="Barry Franz"/>
        <s v="Roger Demir"/>
        <s v="Caroline Jumper"/>
        <s v="Catherine Glotzbach"/>
        <s v="Brendan Murry"/>
        <s v="John Murray"/>
        <s v="Lindsay Shagiari"/>
        <s v="Pete Armstrong"/>
        <s v="Becky Castell"/>
        <s v="Toby Carlisle"/>
        <s v="Greg Hansen"/>
        <s v="Jill Stevenson"/>
        <s v="Julia Barnett"/>
        <s v="Nicole Hansen"/>
        <s v="Maurice Satty"/>
        <s v="Lena Creighton"/>
        <s v="Ed Braxton"/>
        <s v="Vivek Gonzalez"/>
        <s v="Robert Barroso"/>
        <s v="Linda Southworth"/>
        <s v="Marc Crier"/>
        <s v="Harry Greene"/>
        <s v="Theone Pippenger"/>
        <s v="Greg Guthrie"/>
        <s v="Matthew Grinstein"/>
        <s v="Todd Boyes"/>
        <s v="Charles Crestani"/>
        <s v="Tim Taslimi"/>
        <s v="Christine Sundaresam"/>
        <s v="Michael Oakman"/>
        <s v="Ellis Ballard"/>
        <s v="Dave Hallsten"/>
        <s v="Katrina Willman"/>
        <s v="Max Jones"/>
        <s v="Katherine Nockton"/>
        <s v="Jim Sink"/>
        <s v="Clay Rozendal"/>
        <s v="Doug Jacobs"/>
        <s v="Jennifer Braxton"/>
        <s v="Cari Schnelling"/>
        <s v="Ionia McGrath"/>
        <s v="Claire Good"/>
        <s v="Tom Stivers"/>
        <s v="David Smith"/>
        <s v="Carlos Soltero"/>
        <s v="Doug Bickford"/>
        <s v="Ralph Arnett"/>
        <s v="Jeremy Pistek"/>
        <s v="Brian Thompson"/>
        <s v="Ann Blume"/>
        <s v="Roy French"/>
        <s v="Anne McFarland"/>
        <s v="Sarah Bern"/>
        <s v="Thomas Thornton"/>
        <s v="Nicole Brennan"/>
        <s v="Tracy Poddar"/>
        <s v="Anthony Garverick"/>
        <s v="Susan Pistek"/>
        <s v="Keith Dawkins"/>
        <s v="Harold Pawlan"/>
        <s v="Jonathan Howell"/>
        <s v="Erin Creighton"/>
        <s v="Sibella Parks"/>
        <s v="Tom Ashbrook"/>
        <s v="Astrea Jones"/>
        <s v="Brad Norvell"/>
        <s v="Valerie Mitchum"/>
        <s v="Craig Molinari"/>
        <s v="Bradley Nguyen"/>
        <s v="Katrina Edelman"/>
        <s v="Alejandro Grove"/>
        <s v="Trudy Schmidt"/>
        <s v="Art Ferguson"/>
        <s v="Peter McVee"/>
        <s v="Frank Carlisle"/>
        <s v="Greg Tran"/>
        <s v="Dianna Arnett"/>
        <s v="Cindy Schnelling"/>
        <s v="Chuck Clark"/>
        <s v="Denny Blanton"/>
        <s v="Guy Armstrong"/>
        <s v="Michelle Lonsdale"/>
        <s v="Ricardo Block"/>
        <s v="Shui Tom"/>
        <s v="Penelope Sewall"/>
        <s v="Brian DeCherney"/>
        <s v="Alan Shonely"/>
        <s v="Patrick Ryan"/>
        <s v="George Bell"/>
        <s v="Lauren Leatherbury"/>
        <s v="Michael Chen"/>
        <s v="Alan Schoenberger"/>
        <s v="Tamara Chand"/>
        <s v="Annie Cyprus"/>
        <s v="Richard Bierner"/>
        <s v="Erica Bern"/>
        <s v="Beth Paige"/>
        <s v="Stefania Perrino"/>
        <s v="Arianne Irving"/>
        <s v="Max Engle"/>
        <s v="Michelle Huthwaite"/>
        <s v="Karen Ferguson"/>
        <s v="Ralph Kennedy"/>
        <s v="Bryan Spruell"/>
        <s v="Barry Gonzalez"/>
        <s v="Barry Blumstein"/>
        <s v="Magdelene Morse"/>
        <s v="Frank Atkinson"/>
        <s v="Christopher Conant"/>
        <s v="Annie Thurman"/>
        <s v="Jack Lebron"/>
        <s v="Toby Grace"/>
        <s v="Lycoris Saunders"/>
        <s v="Nora Pelletier"/>
        <s v="Tracy Collins"/>
        <s v="Nora Price"/>
        <s v="Steve Carroll"/>
        <s v="Nona Balk"/>
        <s v="Fred McMath"/>
        <s v="Eleni McCrary"/>
        <s v="Maxwell Schwartz"/>
        <s v="Sally Knutson"/>
        <s v="Larry Hughes"/>
        <s v="Victor Price"/>
        <s v="Naresj Patel"/>
        <s v="Cyra Reiten"/>
        <s v="Ricardo Emerson"/>
        <s v="Roy Phan"/>
        <s v="Anthony Johnson"/>
        <s v="Maria Bertelson"/>
        <s v="Damala Kotsonis"/>
        <s v="Janet Lee"/>
        <s v="Bobby Trafton"/>
        <s v="Barbara Fisher"/>
        <s v="Eva Jacobs"/>
        <s v="Sung Shariari"/>
        <s v="Shahid Hopkins"/>
        <s v="Gary Zandusky"/>
        <s v="Tamara Manning"/>
        <s v="Vivek Grady"/>
        <s v="Alan Hwang"/>
        <s v="Beth Fritzler"/>
        <s v="Dennis Bolton"/>
        <s v="Julie Creighton"/>
        <s v="Dan Lawera"/>
        <s v="Gary McGarr"/>
        <s v="Bart Folk"/>
        <s v="Sue Ann Reed"/>
        <s v="Justin MacKendrick"/>
        <s v="Joy Bell"/>
        <s v="Patrick ODonnell"/>
        <s v="Noel Staavos"/>
        <s v="Patrick Gardner"/>
        <s v="Paul Knutson"/>
        <s v="Cyma Kinney"/>
        <s v="Scot Coram"/>
        <s v="Don Jones"/>
        <s v="Clay Cheatham"/>
        <s v="Quincy Jones"/>
        <s v="Steven Cartwright"/>
        <s v="Robert Marley"/>
        <s v="Shirley Schmidt"/>
        <s v="Sandra Flanagan"/>
        <s v="Carol Darley"/>
        <s v="MaryBeth Skach"/>
        <s v="Michael Kennedy"/>
        <s v="Deanra Eno"/>
        <s v="Nick Crebassa"/>
        <s v="Deirdre Greer"/>
        <s v="Alan Dominguez"/>
        <s v="Ruben Dartt"/>
        <s v="Hunter Glantz"/>
        <s v="Adrian Shami"/>
        <s v="Emily Grady"/>
        <s v="Corey Lock"/>
        <s v="Don Weiss"/>
        <s v="Heather Kirkland"/>
        <s v="Shahid Collister"/>
        <s v="Stuart Van"/>
        <s v="Valerie Takahito"/>
        <s v="Shaun Weien"/>
        <s v="Muhammed MacIntyre"/>
        <s v="Frank Price"/>
        <s v="Rose OBrian"/>
        <s v="Dana Kaydos"/>
        <s v="Daniel Lacy"/>
        <s v="Jim Karlsson"/>
        <s v="Lela Donovan"/>
        <s v="Peter Buhler"/>
        <s v="Jeremy Farry"/>
        <s v="Christina Anderson"/>
        <s v="John Huston"/>
        <s v="Clay Ludtke"/>
        <s v="Matthew Clasen"/>
        <s v="Randy Ferguson"/>
        <s v="Thea Hendricks"/>
        <s v="Katherine Murray"/>
        <s v="Debra Catini"/>
        <s v="Michael Stewart"/>
        <s v="Bruce Stewart"/>
        <s v="Maureen Gastineau"/>
        <s v="Michelle Arnett"/>
        <s v="Cynthia Voltz"/>
        <s v="Meg Tillman"/>
        <s v="Nathan Gelder"/>
        <s v="Christine Phan"/>
        <s v="David Flashing"/>
        <s v="Lisa DeCherney"/>
        <s v="Joni Sundaresam"/>
        <s v="Pierre Wener"/>
        <s v="Rick Wilson"/>
        <s v="Cassandra Brandow"/>
        <s v="Sheri Gordon"/>
        <s v="Bill Shonely"/>
        <s v="Ken Black"/>
        <s v="Luke Foster"/>
        <s v="Ryan Crowe"/>
        <s v="Alan Barnes"/>
        <s v="Jonathan Doherty"/>
        <s v="Becky Pak"/>
        <s v="Matt Connell"/>
        <s v="Laurel Elliston"/>
        <s v="Jennifer Jackson"/>
        <s v="Amy Hunt"/>
        <s v="Theresa Coyne"/>
        <s v="Benjamin Farhat"/>
        <s v="Lisa Hazard"/>
        <s v="Tracy Zic"/>
        <s v="Stephanie Phelps"/>
        <s v="Ann Steele"/>
        <s v="Laurel Workman"/>
        <s v="Ken Heidel"/>
        <s v="Joy Daniels"/>
        <s v="Roland Black"/>
        <s v="Theresa Swint"/>
      </sharedItems>
    </cacheField>
    <cacheField name="Address" numFmtId="0">
      <sharedItems/>
    </cacheField>
    <cacheField name="City" numFmtId="0">
      <sharedItems/>
    </cacheField>
    <cacheField name="State" numFmtId="0">
      <sharedItems count="3">
        <s v="VIC"/>
        <s v="NSW"/>
        <s v="WA"/>
      </sharedItems>
    </cacheField>
    <cacheField name="Customer Type" numFmtId="0">
      <sharedItems count="4">
        <s v="Home Office"/>
        <s v="Corporate"/>
        <s v="Consumer"/>
        <s v="Small Business"/>
      </sharedItems>
    </cacheField>
    <cacheField name="Account Manager" numFmtId="0">
      <sharedItems count="14">
        <s v="Yvette Biti"/>
        <s v="Connor Betts"/>
        <s v="Leighton Forrest"/>
        <s v="Nicholas Fernandes"/>
        <s v="Phoebe Gour"/>
        <s v="Natasha Song"/>
        <s v="Samantha Chairs"/>
        <s v="Stevie Bacata"/>
        <s v="Tina Carlton"/>
        <s v="Aanya Zhang"/>
        <s v="Charlie Bui"/>
        <s v="Mihael Khan"/>
        <s v="Preston Senome"/>
        <s v="Radhya Staples"/>
      </sharedItems>
    </cacheField>
    <cacheField name="Order Priority" numFmtId="0">
      <sharedItems containsBlank="1" count="6">
        <s v="High"/>
        <s v="Critical"/>
        <s v="Low"/>
        <s v="Not Specified"/>
        <s v="Medium"/>
        <m/>
      </sharedItems>
    </cacheField>
    <cacheField name="Product Name" numFmtId="0">
      <sharedItems count="147">
        <s v="Artisan Heavy-Duty EZD  Binder With Locking Rings"/>
        <s v="DrawIt Pizazz Watercolor Pencils, 10-Color Set with Brush"/>
        <s v="Message Book, One Form per Page"/>
        <s v="Cando S750 Color Inkjet Printer"/>
        <s v="Steady EarthWrite Recycled Pencils, Medium Soft, #2"/>
        <s v="12 Colored Short Pencils"/>
        <s v="Multimedia Mailers"/>
        <s v="Pizazz Dustless Chalk Sticks"/>
        <s v="TypeRight Side-Opening Peel &amp; Seel Expanding Envelopes"/>
        <s v="Artisan Printable Repositionable Plastic Tabs"/>
        <s v="Security-Tint Envelopes"/>
        <s v="Artisan Arch Ring Binders"/>
        <s v="OIC Thumb-Tacks"/>
        <s v="Apex Elite Stainless Steel Scissors"/>
        <s v="Alto Parchment Paper, Assorted Colors"/>
        <s v="Steady Colorific Colored Pencils, 12/Box"/>
        <s v="Smiths Gold Paper Clips"/>
        <s v="UGen RF Keyboard"/>
        <s v="Smiths Standard Envelopes"/>
        <s v="Office Shears by Apex"/>
        <s v="EcoTones Memo Sheets"/>
        <s v="Smiths Premium Bright 1-Part Blank Computer Paper"/>
        <s v="Artisan 479 Labels"/>
        <s v="Beekin 105-Key Black Keyboard"/>
        <s v="Adesso Programmable 142-Key Keyboard"/>
        <s v="TechSavi Access Keyboard"/>
        <s v="Smiths SlimLine Pencil Sharpener"/>
        <s v="Artisan Premier Heavy-Duty Binder with Round Locking Rings"/>
        <s v="Steady Liquid Accent Highlighters"/>
        <s v="Laser Neon Mac Format Diskettes, 10/Pack"/>
        <s v="1726 Digital Answering Machine"/>
        <s v="Artisan Flip-Chart Easel Binder, Black"/>
        <s v="DrawIt Colored Pencils, 48-Color Set"/>
        <s v="600 Series Non-Flip"/>
        <s v="210 Trimline Phone, White"/>
        <s v="Steady Major Accent Highlighters"/>
        <s v="Aluminum Document Frame"/>
        <s v="Artisan Legal 4-Ring Binder"/>
        <s v="Smiths General Use 3-Ring Binders"/>
        <s v="Alto Keyboard-In-A-Box"/>
        <s v="Artisan 48 Labels"/>
        <s v="UGen Ultra Professional Cordless Optical Suite"/>
        <s v="OIC Colored Binder Clips, Assorted Sizes"/>
        <s v="Colored Envelopes"/>
        <s v="Xit Blank Computer Paper"/>
        <s v="Alto Perma 2700 Stacking Storage Drawers"/>
        <s v="TechSavi Cordless Elite Duo"/>
        <s v="Wirebound Message Book, 4 per Page"/>
        <s v="Laser DVD-RAM discs"/>
        <s v="Artisan Hi-Liter Fluorescent Desk Style Markers"/>
        <s v="Deluxe Rollaway Locking File with Drawer"/>
        <s v="Smiths Colored Interoffice Envelopes"/>
        <s v="Wirebound Voice Message Log Book"/>
        <s v="Smiths Metal Binder Clips"/>
        <s v="3Max Organizer Strips"/>
        <s v="PastelOcean Color Pencil Set"/>
        <s v="Economy Binders"/>
        <s v="HFX 6S Scientific Calculator"/>
        <s v="Self-Adhesive Removable Labels"/>
        <s v="TypeRight  Top-Opening Peel &amp; Seel Envelopes, Plain White"/>
        <s v="TypeRight  Top-Opening Peel &amp; Seel  Envelopes, Gray"/>
        <s v="Artisan Non-Stick Binders"/>
        <s v="DrawIt Colored Pencils"/>
        <s v="Smiths Pen Style Liquid Stix; Assorted (yellow, pink, green, blue, orange), 5/Pack"/>
        <s v="Steady Liquid Accent Tank-Style Highlighters"/>
        <s v="Bagged Rubber Bands"/>
        <s v="UGen Ultra Cordless Optical Suite"/>
        <s v="Cando PC940 Copier"/>
        <s v="TechSavi Internet Navigator Keyboard"/>
        <s v="Artisan Hi-Liter Smear-Safe Highlighters"/>
        <s v="Artisan Hanging File Binders"/>
        <s v="Beekin 6 Outlet Metallic Surge Strip"/>
        <s v="Fluorescent Highlighters by DrawIt"/>
        <s v="Artisan 481 Labels"/>
        <s v="Emerson C82 Color Inkjet Printer"/>
        <s v="Artisan Durable Binders"/>
        <s v="Pizazz Drawing Pencil Set"/>
        <s v="Artisan Poly Binder Pockets"/>
        <s v="Barrel Sharpener"/>
        <s v="Binding Machine Supplies"/>
        <s v="Binder Posts"/>
        <s v="Binder Clips by OIC"/>
        <s v="Economy Rollaway Files"/>
        <s v="Self-Adhesive Ring Binder Labels"/>
        <s v="3Max Polarizing Task Lamp with Clamp Arm, Light Gray"/>
        <s v="Apex Straight Scissors"/>
        <s v="Artisan Binder Labels"/>
        <s v="Alto Memo Cubes"/>
        <s v="TechSavi Cordless Navigator Duo"/>
        <s v="Apex Preferred Stainless Steel Scissors"/>
        <s v="Multi-Use Personal File Cart and Caster Set, Three Stacking Bins"/>
        <s v="Desktop 3-Pocket Hot File"/>
        <s v="600 Series Flip"/>
        <s v="300 Series Non-Flip"/>
        <s v="Angle-D Binders with Locking Rings, Label Holders"/>
        <s v="Brown Kraft Recycled Envelopes"/>
        <s v="Steady 52201 APSCO Electric Pencil Sharpener"/>
        <s v="Artisan 487 Labels"/>
        <s v="Lumi Crayons"/>
        <s v="Artisan Durable Poly Binders"/>
        <s v="Pizazz Colored Pencils"/>
        <s v="Apex Office Executive Series Stainless Steel Trimmers"/>
        <s v="3Max Polarizing Light Filter Sleeves"/>
        <s v="Steady Pocket Accent Highlighters"/>
        <s v="Artisan Binding System Hidden Tab Executive Style Index Sets"/>
        <s v="Artisan Hi-Liter GlideStik Fluorescent Highlighter, Yellow Ink"/>
        <s v="Artisan 478 Labels"/>
        <s v="Apex Forged Steel Scissors with Black Enamel Handles"/>
        <s v="Smiths Bulldog Clip"/>
        <s v="Emerson LQ-870 Dot Matrix Printer"/>
        <s v="HFX LaserJet 3310 Copier"/>
        <s v="Unpadded Memo Slips"/>
        <s v="Ames Color-File Green Diamond Border X-ray Mailers"/>
        <s v="Artisan Hi-Liter Pen Style Six-Color Fluorescent Set"/>
        <s v="Blackstonian Pencils"/>
        <s v="Creator Colored Pencils"/>
        <s v="Apex Box Cutter Scissors"/>
        <s v="Airmail Envelopes"/>
        <s v="Smiths Colored Bar Computer Paper"/>
        <s v="Alto Perma 3000 Stacking Storage Drawers"/>
        <s v="OIC Bulk Pack Metal Binder Clips"/>
        <s v="Artisan Hi-Liter Comfort Grip Fluorescent Highlighter, Yellow Ink"/>
        <s v="Emerson Stylus 1520 Color Inkjet Printer"/>
        <s v="24 Capacity Maxi Data Binder Racks, Pearl"/>
        <s v="Assorted Color Push Pins"/>
        <s v="Alto 3-Hole Punch"/>
        <s v="Creator Anti Dust Chalk, 12/Pack"/>
        <s v="Adams &quot;While You Were Out&quot; Message Pads"/>
        <s v="Artisan 474 Labels"/>
        <s v="Smiths Paper Clips"/>
        <s v="TechSavi Cordless Access Keyboard"/>
        <s v="Artisan File Folder Labels"/>
        <s v="Artisan Round Ring Poly Binders"/>
        <s v="Colored Push Pins"/>
        <s v="Steady Colorific Eraseable Coloring Pencils, 12 Count"/>
        <s v="Smiths File Caddy"/>
        <s v="Artisan Reinforcements for Hole-Punch Pages"/>
        <s v="Artisan Hi-Liter EverBold Pen Style Fluorescent Highlighters, 4/Pack"/>
        <s v="TechSavi Cordless Keyboard"/>
        <s v="Smiths Pushpins"/>
        <s v="Apex Design Stainless Steel Bent Scissors"/>
        <s v="Col-Erase Pencils with Erasers"/>
        <s v="Artisan Hole Reinforcements"/>
        <s v="Alto Six-Outlet Power Strip, 4 Cord Length"/>
        <s v="Smiths Bulk Pack Metal Binder Clips"/>
        <s v="Alliance Rubber Bands"/>
        <s v="HFX 610 Color Digital Copier / Printer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Container" numFmtId="0">
      <sharedItems/>
    </cacheField>
    <cacheField name="Ship Mode" numFmtId="0">
      <sharedItems count="3">
        <s v="Regular Air"/>
        <s v="Express Air"/>
        <s v="Delivery Truck"/>
      </sharedItems>
    </cacheField>
    <cacheField name="Ship Date" numFmtId="14">
      <sharedItems containsNonDate="0" containsDate="1" containsString="0" containsBlank="1" minDate="2013-02-12T00:00:00" maxDate="2017-02-08T00:00:00"/>
    </cacheField>
    <cacheField name="Cost Price" numFmtId="164">
      <sharedItems containsSemiMixedTypes="0" containsString="0" containsNumber="1" minValue="0.24" maxValue="377.99"/>
    </cacheField>
    <cacheField name="Retail Price" numFmtId="164">
      <sharedItems containsSemiMixedTypes="0" containsString="0" containsNumber="1" minValue="1.1399999999999999" maxValue="599.99"/>
    </cacheField>
    <cacheField name="Profit Margin" numFmtId="164">
      <sharedItems containsSemiMixedTypes="0" containsString="0" containsNumber="1" minValue="0.35530000000000017" maxValue="316.02999999999997"/>
    </cacheField>
    <cacheField name="Order Quantity" numFmtId="0">
      <sharedItems containsSemiMixedTypes="0" containsString="0" containsNumber="1" containsInteger="1" minValue="1" maxValue="50"/>
    </cacheField>
    <cacheField name="Sub Total" numFmtId="164">
      <sharedItems containsSemiMixedTypes="0" containsString="0" containsNumber="1" minValue="1.48" maxValue="29999.5"/>
    </cacheField>
    <cacheField name="Discount %" numFmtId="9">
      <sharedItems containsSemiMixedTypes="0" containsString="0" containsNumber="1" minValue="0" maxValue="0.1"/>
    </cacheField>
    <cacheField name="Discount $" numFmtId="164">
      <sharedItems containsSemiMixedTypes="0" containsString="0" containsNumber="1" minValue="0" maxValue="2699.9549999999999"/>
    </cacheField>
    <cacheField name="Order Total" numFmtId="164">
      <sharedItems containsSemiMixedTypes="0" containsString="0" containsNumber="1" minValue="1.4652000000000001" maxValue="27299.544999999998"/>
    </cacheField>
    <cacheField name="Shipping Cost" numFmtId="164">
      <sharedItems containsSemiMixedTypes="0" containsString="0" containsNumber="1" minValue="0.49" maxValue="69.3"/>
    </cacheField>
    <cacheField name="Total" numFmtId="164">
      <sharedItems containsSemiMixedTypes="0" containsString="0" containsNumber="1" minValue="2.1652" maxValue="27324.0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5014-1"/>
    <d v="2013-02-11T00:00:00"/>
    <x v="0"/>
    <x v="0"/>
    <s v="221 Barkly St,St Kilda"/>
    <s v="Melbourne"/>
    <x v="0"/>
    <x v="0"/>
    <x v="0"/>
    <x v="0"/>
    <x v="0"/>
    <x v="0"/>
    <s v="Small Box"/>
    <x v="0"/>
    <d v="2013-02-12T00:00:00"/>
    <n v="3.52"/>
    <n v="5.58"/>
    <n v="2.06"/>
    <n v="29"/>
    <n v="161.82"/>
    <n v="0.03"/>
    <n v="4.8545999999999996"/>
    <n v="156.96539999999999"/>
    <n v="2.99"/>
    <n v="159.9554"/>
  </r>
  <r>
    <s v="5016-1"/>
    <d v="2013-02-11T00:00:00"/>
    <x v="0"/>
    <x v="1"/>
    <s v="101/12 Victoria Ave, Perth"/>
    <s v="Melbourne"/>
    <x v="0"/>
    <x v="0"/>
    <x v="1"/>
    <x v="0"/>
    <x v="1"/>
    <x v="0"/>
    <s v="Wrap Bag"/>
    <x v="0"/>
    <d v="2013-02-12T00:00:00"/>
    <n v="2.39"/>
    <n v="4.26"/>
    <n v="1.8699999999999997"/>
    <n v="29"/>
    <n v="123.53999999999999"/>
    <n v="0.03"/>
    <n v="3.7061999999999995"/>
    <n v="119.8338"/>
    <n v="1.2"/>
    <n v="121.0338"/>
  </r>
  <r>
    <s v="5018-1"/>
    <d v="2013-02-12T00:00:00"/>
    <x v="0"/>
    <x v="2"/>
    <s v="61 York St,Sydney"/>
    <s v="Sydney"/>
    <x v="1"/>
    <x v="1"/>
    <x v="2"/>
    <x v="1"/>
    <x v="2"/>
    <x v="0"/>
    <s v="Wrap Bag"/>
    <x v="1"/>
    <d v="2013-02-14T00:00:00"/>
    <n v="2.41"/>
    <n v="3.71"/>
    <n v="1.2999999999999998"/>
    <n v="42"/>
    <n v="155.82"/>
    <n v="7.0000000000000007E-2"/>
    <n v="10.907400000000001"/>
    <n v="144.9126"/>
    <n v="1.93"/>
    <n v="146.8426"/>
  </r>
  <r>
    <s v="5019-1"/>
    <d v="2013-02-13T00:00:00"/>
    <x v="0"/>
    <x v="3"/>
    <s v="3 Carrington Road ,Box Hill"/>
    <s v="Melbourne"/>
    <x v="0"/>
    <x v="0"/>
    <x v="0"/>
    <x v="0"/>
    <x v="3"/>
    <x v="1"/>
    <s v="Jumbo Drum"/>
    <x v="2"/>
    <d v="2013-02-15T00:00:00"/>
    <n v="75"/>
    <n v="120.97"/>
    <n v="45.97"/>
    <n v="6"/>
    <n v="725.81999999999994"/>
    <n v="0.08"/>
    <n v="58.065599999999996"/>
    <n v="667.75439999999992"/>
    <n v="26.3"/>
    <n v="694.05439999999987"/>
  </r>
  <r>
    <s v="5020-1"/>
    <d v="2013-02-14T00:00:00"/>
    <x v="0"/>
    <x v="4"/>
    <s v="18 Whistler St,Sydney"/>
    <s v="Sydney"/>
    <x v="1"/>
    <x v="2"/>
    <x v="3"/>
    <x v="1"/>
    <x v="4"/>
    <x v="0"/>
    <s v="Wrap Bag"/>
    <x v="0"/>
    <d v="2013-02-15T00:00:00"/>
    <n v="0.9"/>
    <n v="2.1"/>
    <n v="1.2000000000000002"/>
    <n v="17"/>
    <n v="35.700000000000003"/>
    <n v="0.03"/>
    <n v="1.071"/>
    <n v="34.629000000000005"/>
    <n v="0.7"/>
    <n v="35.329000000000008"/>
  </r>
  <r>
    <s v="5023-1"/>
    <d v="2013-02-17T00:00:00"/>
    <x v="0"/>
    <x v="5"/>
    <s v="3 Carrington Road ,Box Hill"/>
    <s v="Melbourne"/>
    <x v="0"/>
    <x v="0"/>
    <x v="0"/>
    <x v="2"/>
    <x v="5"/>
    <x v="0"/>
    <s v="Wrap Bag"/>
    <x v="0"/>
    <d v="2013-02-22T00:00:00"/>
    <n v="1.0900000000000001"/>
    <n v="2.6"/>
    <n v="1.51"/>
    <n v="47"/>
    <n v="122.2"/>
    <n v="0.1"/>
    <n v="12.22"/>
    <n v="109.98"/>
    <n v="2.4"/>
    <n v="112.38000000000001"/>
  </r>
  <r>
    <s v="5024-1"/>
    <d v="2013-02-18T00:00:00"/>
    <x v="0"/>
    <x v="6"/>
    <s v="145 Ramsay St,Haberfield"/>
    <s v="Sydney"/>
    <x v="1"/>
    <x v="1"/>
    <x v="4"/>
    <x v="1"/>
    <x v="6"/>
    <x v="0"/>
    <s v="Small Box"/>
    <x v="0"/>
    <d v="2013-02-20T00:00:00"/>
    <n v="99.39"/>
    <n v="162.93"/>
    <n v="63.540000000000006"/>
    <n v="32"/>
    <n v="5213.76"/>
    <n v="0.09"/>
    <n v="469.23840000000001"/>
    <n v="4744.5216"/>
    <n v="19.989999999999998"/>
    <n v="4764.5115999999998"/>
  </r>
  <r>
    <s v="5025-1"/>
    <d v="2013-02-20T00:00:00"/>
    <x v="0"/>
    <x v="7"/>
    <s v="Sydney Fish Market, Bank Street, Sydney"/>
    <s v="Sydney"/>
    <x v="1"/>
    <x v="2"/>
    <x v="4"/>
    <x v="1"/>
    <x v="7"/>
    <x v="0"/>
    <s v="Wrap Bag"/>
    <x v="0"/>
    <d v="2013-02-22T00:00:00"/>
    <n v="1.0900000000000001"/>
    <n v="1.68"/>
    <n v="0.58999999999999986"/>
    <n v="33"/>
    <n v="55.44"/>
    <n v="0.04"/>
    <n v="2.2176"/>
    <n v="53.2224"/>
    <n v="1"/>
    <n v="54.2224"/>
  </r>
  <r>
    <s v="5027-1"/>
    <d v="2013-02-22T00:00:00"/>
    <x v="0"/>
    <x v="8"/>
    <s v="273 George Street,Sydney"/>
    <s v="Sydney"/>
    <x v="1"/>
    <x v="3"/>
    <x v="2"/>
    <x v="3"/>
    <x v="8"/>
    <x v="0"/>
    <s v="Small Box"/>
    <x v="0"/>
    <d v="2013-02-23T00:00:00"/>
    <n v="54.29"/>
    <n v="90.48"/>
    <n v="36.190000000000005"/>
    <n v="8"/>
    <n v="723.84"/>
    <n v="7.0000000000000007E-2"/>
    <n v="50.668800000000005"/>
    <n v="673.1712"/>
    <n v="19.989999999999998"/>
    <n v="693.16120000000001"/>
  </r>
  <r>
    <s v="5029-1"/>
    <d v="2013-02-23T00:00:00"/>
    <x v="0"/>
    <x v="9"/>
    <s v="48 Albion St,Surry Hills"/>
    <s v="Sydney"/>
    <x v="1"/>
    <x v="1"/>
    <x v="5"/>
    <x v="3"/>
    <x v="9"/>
    <x v="0"/>
    <s v="Small Box"/>
    <x v="0"/>
    <d v="2013-02-23T00:00:00"/>
    <n v="5.33"/>
    <n v="8.6"/>
    <n v="3.2699999999999996"/>
    <n v="48"/>
    <n v="412.79999999999995"/>
    <n v="0"/>
    <n v="0"/>
    <n v="412.79999999999995"/>
    <n v="6.19"/>
    <n v="418.98999999999995"/>
  </r>
  <r>
    <s v="5031-1"/>
    <d v="2013-02-25T00:00:00"/>
    <x v="0"/>
    <x v="10"/>
    <s v="120 Hardware St,Melbourne"/>
    <s v="Melbourne"/>
    <x v="0"/>
    <x v="1"/>
    <x v="1"/>
    <x v="4"/>
    <x v="10"/>
    <x v="0"/>
    <s v="Small Box"/>
    <x v="0"/>
    <d v="2013-02-27T00:00:00"/>
    <n v="4.8899999999999997"/>
    <n v="7.64"/>
    <n v="2.75"/>
    <n v="18"/>
    <n v="137.51999999999998"/>
    <n v="0.1"/>
    <n v="13.751999999999999"/>
    <n v="123.76799999999999"/>
    <n v="1.39"/>
    <n v="125.15799999999999"/>
  </r>
  <r>
    <s v="5033-1"/>
    <d v="2013-02-25T00:00:00"/>
    <x v="0"/>
    <x v="11"/>
    <s v="61A Bay Road,Wollstonecraft"/>
    <s v="Sydney"/>
    <x v="1"/>
    <x v="1"/>
    <x v="6"/>
    <x v="4"/>
    <x v="8"/>
    <x v="0"/>
    <s v="Small Box"/>
    <x v="0"/>
    <d v="2013-02-27T00:00:00"/>
    <n v="54.29"/>
    <n v="90.48"/>
    <n v="36.190000000000005"/>
    <n v="3"/>
    <n v="271.44"/>
    <n v="0.03"/>
    <n v="8.1432000000000002"/>
    <n v="263.29680000000002"/>
    <n v="19.989999999999998"/>
    <n v="283.28680000000003"/>
  </r>
  <r>
    <s v="5034-1"/>
    <d v="2013-02-26T00:00:00"/>
    <x v="0"/>
    <x v="12"/>
    <s v="98-104 Parramatta Rd,Camperdown"/>
    <s v="Sydney"/>
    <x v="1"/>
    <x v="1"/>
    <x v="4"/>
    <x v="0"/>
    <x v="11"/>
    <x v="0"/>
    <s v="Small Box"/>
    <x v="0"/>
    <d v="2013-02-26T00:00:00"/>
    <n v="36.020000000000003"/>
    <n v="58.1"/>
    <n v="22.08"/>
    <n v="50"/>
    <n v="2905"/>
    <n v="0.05"/>
    <n v="145.25"/>
    <n v="2759.75"/>
    <n v="1.49"/>
    <n v="2761.24"/>
  </r>
  <r>
    <s v="5036-1"/>
    <d v="2013-03-07T00:00:00"/>
    <x v="0"/>
    <x v="13"/>
    <s v="541 Church St ,Richmond"/>
    <s v="Melbourne"/>
    <x v="0"/>
    <x v="1"/>
    <x v="0"/>
    <x v="1"/>
    <x v="12"/>
    <x v="0"/>
    <s v="Wrap Bag"/>
    <x v="0"/>
    <d v="2013-03-10T00:00:00"/>
    <n v="0.71"/>
    <n v="1.1399999999999999"/>
    <n v="0.42999999999999994"/>
    <n v="50"/>
    <n v="56.999999999999993"/>
    <n v="0.06"/>
    <n v="3.4199999999999995"/>
    <n v="53.579999999999991"/>
    <n v="0.7"/>
    <n v="54.279999999999994"/>
  </r>
  <r>
    <s v="5037-1"/>
    <d v="2013-03-11T00:00:00"/>
    <x v="0"/>
    <x v="14"/>
    <s v="14 Money Street, Perth"/>
    <s v="Sydney"/>
    <x v="1"/>
    <x v="0"/>
    <x v="7"/>
    <x v="1"/>
    <x v="13"/>
    <x v="0"/>
    <s v="Small Pack"/>
    <x v="0"/>
    <d v="2013-03-13T00:00:00"/>
    <n v="3.42"/>
    <n v="8.34"/>
    <n v="4.92"/>
    <n v="16"/>
    <n v="133.44"/>
    <n v="0.03"/>
    <n v="4.0031999999999996"/>
    <n v="129.43680000000001"/>
    <n v="2.64"/>
    <n v="132.07679999999999"/>
  </r>
  <r>
    <s v="5038-1"/>
    <d v="2013-03-13T00:00:00"/>
    <x v="0"/>
    <x v="15"/>
    <s v="120 Hardware St,Melbourne"/>
    <s v="Melbourne"/>
    <x v="0"/>
    <x v="1"/>
    <x v="1"/>
    <x v="2"/>
    <x v="12"/>
    <x v="0"/>
    <s v="Wrap Bag"/>
    <x v="0"/>
    <d v="2013-03-13T00:00:00"/>
    <n v="0.71"/>
    <n v="1.1399999999999999"/>
    <n v="0.42999999999999994"/>
    <n v="38"/>
    <n v="43.319999999999993"/>
    <n v="0.02"/>
    <n v="0.86639999999999984"/>
    <n v="42.453599999999994"/>
    <n v="0.7"/>
    <n v="43.153599999999997"/>
  </r>
  <r>
    <s v="5039-1"/>
    <d v="2013-03-15T00:00:00"/>
    <x v="0"/>
    <x v="16"/>
    <s v="402 Argyle St,Moss Vale"/>
    <s v="Sydney"/>
    <x v="1"/>
    <x v="1"/>
    <x v="5"/>
    <x v="4"/>
    <x v="14"/>
    <x v="0"/>
    <s v="Small Box"/>
    <x v="0"/>
    <d v="2013-03-16T00:00:00"/>
    <n v="4.59"/>
    <n v="7.28"/>
    <n v="2.6900000000000004"/>
    <n v="22"/>
    <n v="160.16"/>
    <n v="0.01"/>
    <n v="1.6015999999999999"/>
    <n v="158.55840000000001"/>
    <n v="11.15"/>
    <n v="169.70840000000001"/>
  </r>
  <r>
    <s v="5040-1"/>
    <d v="2013-03-16T00:00:00"/>
    <x v="0"/>
    <x v="17"/>
    <s v="188 Pitt Street,Sydney"/>
    <s v="Sydney"/>
    <x v="1"/>
    <x v="3"/>
    <x v="8"/>
    <x v="2"/>
    <x v="15"/>
    <x v="0"/>
    <s v="Wrap Bag"/>
    <x v="0"/>
    <d v="2013-03-20T00:00:00"/>
    <n v="1.3"/>
    <n v="2.88"/>
    <n v="1.5799999999999998"/>
    <n v="48"/>
    <n v="138.24"/>
    <n v="7.0000000000000007E-2"/>
    <n v="9.6768000000000018"/>
    <n v="128.56319999999999"/>
    <n v="1.01"/>
    <n v="129.57319999999999"/>
  </r>
  <r>
    <s v="5043-1"/>
    <d v="2013-03-23T00:00:00"/>
    <x v="0"/>
    <x v="18"/>
    <s v="1737 Botany Rd,Banksmeadow"/>
    <s v="Sydney"/>
    <x v="1"/>
    <x v="3"/>
    <x v="3"/>
    <x v="0"/>
    <x v="16"/>
    <x v="0"/>
    <s v="Wrap Bag"/>
    <x v="0"/>
    <d v="2013-03-26T00:00:00"/>
    <n v="1.82"/>
    <n v="2.98"/>
    <n v="1.1599999999999999"/>
    <n v="22"/>
    <n v="65.56"/>
    <n v="0.04"/>
    <n v="2.6224000000000003"/>
    <n v="62.937600000000003"/>
    <n v="1.58"/>
    <n v="64.517600000000002"/>
  </r>
  <r>
    <s v="5045-1"/>
    <d v="2013-03-26T00:00:00"/>
    <x v="0"/>
    <x v="19"/>
    <s v="523 King St,Newtown"/>
    <s v="Sydney"/>
    <x v="1"/>
    <x v="2"/>
    <x v="9"/>
    <x v="3"/>
    <x v="17"/>
    <x v="1"/>
    <s v="Small Box"/>
    <x v="0"/>
    <d v="2013-03-28T00:00:00"/>
    <n v="81.59"/>
    <n v="159.99"/>
    <n v="78.400000000000006"/>
    <n v="30"/>
    <n v="4799.7000000000007"/>
    <n v="0.01"/>
    <n v="47.997000000000007"/>
    <n v="4751.7030000000004"/>
    <n v="5.5"/>
    <n v="4757.2030000000004"/>
  </r>
  <r>
    <s v="5047-1"/>
    <d v="2013-03-27T00:00:00"/>
    <x v="0"/>
    <x v="20"/>
    <s v="501 George St,Sydney"/>
    <s v="Sydney"/>
    <x v="1"/>
    <x v="0"/>
    <x v="6"/>
    <x v="2"/>
    <x v="9"/>
    <x v="0"/>
    <s v="Small Box"/>
    <x v="0"/>
    <d v="2013-04-03T00:00:00"/>
    <n v="5.33"/>
    <n v="8.6"/>
    <n v="3.2699999999999996"/>
    <n v="37"/>
    <n v="318.2"/>
    <n v="0.04"/>
    <n v="12.728"/>
    <n v="305.47199999999998"/>
    <n v="6.19"/>
    <n v="311.66199999999998"/>
  </r>
  <r>
    <s v="5048-1"/>
    <d v="2013-03-27T00:00:00"/>
    <x v="0"/>
    <x v="21"/>
    <s v="188 Pitt Street,Sydney"/>
    <s v="Sydney"/>
    <x v="1"/>
    <x v="3"/>
    <x v="8"/>
    <x v="4"/>
    <x v="18"/>
    <x v="0"/>
    <s v="Small Box"/>
    <x v="0"/>
    <d v="2013-03-27T00:00:00"/>
    <n v="3.52"/>
    <n v="5.68"/>
    <n v="2.1599999999999997"/>
    <n v="24"/>
    <n v="136.32"/>
    <n v="0.06"/>
    <n v="8.1791999999999998"/>
    <n v="128.14079999999998"/>
    <n v="1.39"/>
    <n v="129.53079999999997"/>
  </r>
  <r>
    <s v="5049-1"/>
    <d v="2013-03-30T00:00:00"/>
    <x v="0"/>
    <x v="22"/>
    <s v="Macquarie Centre Cnr Herring Road &amp; Waterloo Road,Macquarie Park"/>
    <s v="Sydney"/>
    <x v="1"/>
    <x v="1"/>
    <x v="3"/>
    <x v="3"/>
    <x v="19"/>
    <x v="0"/>
    <s v="Small Pack"/>
    <x v="0"/>
    <d v="2013-03-31T00:00:00"/>
    <n v="0.94"/>
    <n v="2.08"/>
    <n v="1.1400000000000001"/>
    <n v="4"/>
    <n v="8.32"/>
    <n v="0.02"/>
    <n v="0.16640000000000002"/>
    <n v="8.1536000000000008"/>
    <n v="2.56"/>
    <n v="10.713600000000001"/>
  </r>
  <r>
    <s v="5050-1"/>
    <d v="2013-04-19T00:00:00"/>
    <x v="0"/>
    <x v="23"/>
    <s v="99 Lygon Street,East Brunswick"/>
    <s v="Melbourne"/>
    <x v="0"/>
    <x v="1"/>
    <x v="1"/>
    <x v="3"/>
    <x v="9"/>
    <x v="0"/>
    <s v="Small Box"/>
    <x v="0"/>
    <d v="2013-04-20T00:00:00"/>
    <n v="5.33"/>
    <n v="8.6"/>
    <n v="3.2699999999999996"/>
    <n v="36"/>
    <n v="309.59999999999997"/>
    <n v="0.06"/>
    <n v="18.575999999999997"/>
    <n v="291.02399999999994"/>
    <n v="6.19"/>
    <n v="297.21399999999994"/>
  </r>
  <r>
    <s v="5052-1"/>
    <d v="2013-04-20T00:00:00"/>
    <x v="0"/>
    <x v="24"/>
    <s v="240-242 Johnston Street,Fitzroy"/>
    <s v="Melbourne"/>
    <x v="0"/>
    <x v="3"/>
    <x v="1"/>
    <x v="3"/>
    <x v="20"/>
    <x v="0"/>
    <s v="Wrap Bag"/>
    <x v="0"/>
    <d v="2013-04-22T00:00:00"/>
    <n v="2.52"/>
    <n v="4"/>
    <n v="1.48"/>
    <n v="31"/>
    <n v="124"/>
    <n v="0.01"/>
    <n v="1.24"/>
    <n v="122.76"/>
    <n v="1.3"/>
    <n v="124.06"/>
  </r>
  <r>
    <s v="5055-1"/>
    <d v="2013-04-27T00:00:00"/>
    <x v="0"/>
    <x v="25"/>
    <s v="78 Stanley St,Darlinghurst"/>
    <s v="Sydney"/>
    <x v="1"/>
    <x v="0"/>
    <x v="4"/>
    <x v="0"/>
    <x v="21"/>
    <x v="0"/>
    <s v="Small Box"/>
    <x v="1"/>
    <d v="2013-04-28T00:00:00"/>
    <n v="7.61"/>
    <n v="12.28"/>
    <n v="4.669999999999999"/>
    <n v="29"/>
    <n v="356.12"/>
    <n v="0"/>
    <n v="0"/>
    <n v="356.12"/>
    <n v="6.35"/>
    <n v="362.47"/>
  </r>
  <r>
    <s v="5057-1"/>
    <d v="2013-04-28T00:00:00"/>
    <x v="0"/>
    <x v="26"/>
    <s v="8 Rankins Lane ,Melbourne"/>
    <s v="Melbourne"/>
    <x v="0"/>
    <x v="1"/>
    <x v="1"/>
    <x v="4"/>
    <x v="22"/>
    <x v="0"/>
    <s v="Small Box"/>
    <x v="0"/>
    <d v="2013-04-30T00:00:00"/>
    <n v="1.59"/>
    <n v="2.61"/>
    <n v="1.0199999999999998"/>
    <n v="9"/>
    <n v="23.49"/>
    <n v="0.06"/>
    <n v="1.4093999999999998"/>
    <n v="22.080599999999997"/>
    <n v="0.5"/>
    <n v="22.580599999999997"/>
  </r>
  <r>
    <s v="5059-1"/>
    <d v="2013-04-28T00:00:00"/>
    <x v="0"/>
    <x v="27"/>
    <s v="1/20 Pendal Lane, Perth"/>
    <s v="Sydney"/>
    <x v="1"/>
    <x v="1"/>
    <x v="10"/>
    <x v="4"/>
    <x v="23"/>
    <x v="1"/>
    <s v="Small Box"/>
    <x v="0"/>
    <d v="2013-04-28T00:00:00"/>
    <n v="6.39"/>
    <n v="19.98"/>
    <n v="13.59"/>
    <n v="7"/>
    <n v="139.86000000000001"/>
    <n v="0.01"/>
    <n v="1.3986000000000001"/>
    <n v="138.46140000000003"/>
    <n v="4"/>
    <n v="142.46140000000003"/>
  </r>
  <r>
    <s v="5060-1"/>
    <d v="2013-04-30T00:00:00"/>
    <x v="0"/>
    <x v="28"/>
    <s v="499-501 Lygon Street,Carlton North"/>
    <s v="Melbourne"/>
    <x v="0"/>
    <x v="1"/>
    <x v="0"/>
    <x v="4"/>
    <x v="24"/>
    <x v="1"/>
    <s v="Small Box"/>
    <x v="1"/>
    <d v="2013-05-01T00:00:00"/>
    <n v="32.020000000000003"/>
    <n v="152.47999999999999"/>
    <n v="120.45999999999998"/>
    <n v="16"/>
    <n v="2439.6799999999998"/>
    <n v="0.1"/>
    <n v="243.96799999999999"/>
    <n v="2195.712"/>
    <n v="4"/>
    <n v="2199.712"/>
  </r>
  <r>
    <s v="5061-1"/>
    <d v="2013-04-30T00:00:00"/>
    <x v="0"/>
    <x v="29"/>
    <s v="85-113 Dunning Ave,Rosebery"/>
    <s v="Sydney"/>
    <x v="1"/>
    <x v="3"/>
    <x v="11"/>
    <x v="3"/>
    <x v="21"/>
    <x v="0"/>
    <s v="Small Box"/>
    <x v="0"/>
    <d v="2013-05-02T00:00:00"/>
    <n v="7.61"/>
    <n v="12.28"/>
    <n v="4.669999999999999"/>
    <n v="27"/>
    <n v="331.56"/>
    <n v="0.03"/>
    <n v="9.9467999999999996"/>
    <n v="321.61320000000001"/>
    <n v="6.35"/>
    <n v="327.96320000000003"/>
  </r>
  <r>
    <s v="5062-1"/>
    <d v="2013-04-30T00:00:00"/>
    <x v="0"/>
    <x v="30"/>
    <s v="273 George Street,Sydney"/>
    <s v="Sydney"/>
    <x v="1"/>
    <x v="2"/>
    <x v="2"/>
    <x v="3"/>
    <x v="25"/>
    <x v="1"/>
    <s v="Small Box"/>
    <x v="0"/>
    <d v="2013-05-02T00:00:00"/>
    <n v="10.07"/>
    <n v="15.98"/>
    <n v="5.91"/>
    <n v="39"/>
    <n v="623.22"/>
    <n v="0.09"/>
    <n v="56.089800000000004"/>
    <n v="567.13020000000006"/>
    <n v="4"/>
    <n v="571.13020000000006"/>
  </r>
  <r>
    <s v="5063-1"/>
    <d v="2013-05-01T00:00:00"/>
    <x v="0"/>
    <x v="31"/>
    <s v="3 Carrington Road ,Box Hill"/>
    <s v="Melbourne"/>
    <x v="0"/>
    <x v="1"/>
    <x v="0"/>
    <x v="3"/>
    <x v="26"/>
    <x v="0"/>
    <s v="Small Pack"/>
    <x v="0"/>
    <d v="2013-05-03T00:00:00"/>
    <n v="4.79"/>
    <n v="11.97"/>
    <n v="7.1800000000000006"/>
    <n v="7"/>
    <n v="83.79"/>
    <n v="0.05"/>
    <n v="4.1895000000000007"/>
    <n v="79.600500000000011"/>
    <n v="5.81"/>
    <n v="85.410500000000013"/>
  </r>
  <r>
    <s v="5064-1"/>
    <d v="2013-05-02T00:00:00"/>
    <x v="0"/>
    <x v="32"/>
    <s v="499-501 Lygon Street,Carlton North"/>
    <s v="Melbourne"/>
    <x v="0"/>
    <x v="0"/>
    <x v="0"/>
    <x v="3"/>
    <x v="27"/>
    <x v="0"/>
    <s v="Small Box"/>
    <x v="0"/>
    <d v="2013-05-03T00:00:00"/>
    <n v="8.7100000000000009"/>
    <n v="14.28"/>
    <n v="5.5699999999999985"/>
    <n v="42"/>
    <n v="599.76"/>
    <n v="0.1"/>
    <n v="59.975999999999999"/>
    <n v="539.78399999999999"/>
    <n v="2.99"/>
    <n v="542.774"/>
  </r>
  <r>
    <s v="5066-1"/>
    <d v="2013-05-02T00:00:00"/>
    <x v="0"/>
    <x v="33"/>
    <s v="1-2/299 Sussex St,Sydney"/>
    <s v="Sydney"/>
    <x v="1"/>
    <x v="3"/>
    <x v="9"/>
    <x v="1"/>
    <x v="8"/>
    <x v="0"/>
    <s v="Small Box"/>
    <x v="0"/>
    <d v="2013-05-03T00:00:00"/>
    <n v="54.29"/>
    <n v="90.48"/>
    <n v="36.190000000000005"/>
    <n v="15"/>
    <n v="1357.2"/>
    <n v="0.05"/>
    <n v="67.86"/>
    <n v="1289.3400000000001"/>
    <n v="19.989999999999998"/>
    <n v="1309.3300000000002"/>
  </r>
  <r>
    <s v="5068-1"/>
    <d v="2013-05-03T00:00:00"/>
    <x v="0"/>
    <x v="34"/>
    <s v="60 York St,Sydney"/>
    <s v="Sydney"/>
    <x v="1"/>
    <x v="3"/>
    <x v="10"/>
    <x v="1"/>
    <x v="18"/>
    <x v="0"/>
    <s v="Small Box"/>
    <x v="0"/>
    <d v="2013-05-05T00:00:00"/>
    <n v="3.52"/>
    <n v="5.68"/>
    <n v="2.1599999999999997"/>
    <n v="20"/>
    <n v="113.6"/>
    <n v="7.0000000000000007E-2"/>
    <n v="7.952"/>
    <n v="105.648"/>
    <n v="1.39"/>
    <n v="107.038"/>
  </r>
  <r>
    <s v="5070-1"/>
    <d v="2013-05-04T00:00:00"/>
    <x v="0"/>
    <x v="35"/>
    <s v="61A Bay Road,Wollstonecraft"/>
    <s v="Sydney"/>
    <x v="1"/>
    <x v="1"/>
    <x v="6"/>
    <x v="1"/>
    <x v="28"/>
    <x v="0"/>
    <s v="Wrap Bag"/>
    <x v="0"/>
    <d v="2013-05-06T00:00:00"/>
    <n v="3.47"/>
    <n v="6.68"/>
    <n v="3.2099999999999995"/>
    <n v="41"/>
    <n v="273.88"/>
    <n v="0.08"/>
    <n v="21.910399999999999"/>
    <n v="251.96959999999999"/>
    <n v="1.5"/>
    <n v="253.46959999999999"/>
  </r>
  <r>
    <s v="5071-1"/>
    <d v="2013-05-05T00:00:00"/>
    <x v="0"/>
    <x v="36"/>
    <s v="4A Lyons St,Strathfield"/>
    <s v="Sydney"/>
    <x v="1"/>
    <x v="1"/>
    <x v="8"/>
    <x v="4"/>
    <x v="29"/>
    <x v="1"/>
    <s v="Small Pack"/>
    <x v="0"/>
    <d v="2013-05-06T00:00:00"/>
    <n v="1.87"/>
    <n v="2.2253000000000003"/>
    <n v="0.35530000000000017"/>
    <n v="41"/>
    <n v="91.237300000000005"/>
    <n v="0.06"/>
    <n v="5.4742379999999997"/>
    <n v="85.763062000000005"/>
    <n v="2.83"/>
    <n v="88.593062000000003"/>
  </r>
  <r>
    <s v="5071-2"/>
    <d v="2013-05-05T00:00:00"/>
    <x v="0"/>
    <x v="36"/>
    <s v="4A Lyons St,Strathfield"/>
    <s v="Sydney"/>
    <x v="1"/>
    <x v="1"/>
    <x v="8"/>
    <x v="4"/>
    <x v="28"/>
    <x v="0"/>
    <s v="Wrap Bag"/>
    <x v="0"/>
    <d v="2013-05-06T00:00:00"/>
    <n v="3.47"/>
    <n v="6.68"/>
    <n v="3.2099999999999995"/>
    <n v="2"/>
    <n v="13.36"/>
    <n v="0.01"/>
    <n v="0.1336"/>
    <n v="13.2264"/>
    <n v="1.5"/>
    <n v="14.7264"/>
  </r>
  <r>
    <s v="5075-1"/>
    <d v="2013-05-05T00:00:00"/>
    <x v="0"/>
    <x v="37"/>
    <s v="221 Barkly St,St Kilda"/>
    <s v="Melbourne"/>
    <x v="0"/>
    <x v="1"/>
    <x v="0"/>
    <x v="2"/>
    <x v="25"/>
    <x v="1"/>
    <s v="Small Box"/>
    <x v="0"/>
    <d v="2013-05-10T00:00:00"/>
    <n v="10.07"/>
    <n v="15.98"/>
    <n v="5.91"/>
    <n v="34"/>
    <n v="543.32000000000005"/>
    <n v="0.1"/>
    <n v="54.332000000000008"/>
    <n v="488.98800000000006"/>
    <n v="4"/>
    <n v="492.98800000000006"/>
  </r>
  <r>
    <s v="5077-1"/>
    <d v="2013-05-07T00:00:00"/>
    <x v="0"/>
    <x v="38"/>
    <s v="10 O'Connell St,Sydney"/>
    <s v="Sydney"/>
    <x v="1"/>
    <x v="3"/>
    <x v="9"/>
    <x v="3"/>
    <x v="26"/>
    <x v="0"/>
    <s v="Small Pack"/>
    <x v="0"/>
    <d v="2013-05-09T00:00:00"/>
    <n v="4.79"/>
    <n v="11.97"/>
    <n v="7.1800000000000006"/>
    <n v="18"/>
    <n v="215.46"/>
    <n v="0.08"/>
    <n v="17.236800000000002"/>
    <n v="198.22320000000002"/>
    <n v="5.81"/>
    <n v="204.03320000000002"/>
  </r>
  <r>
    <s v="5079-1"/>
    <d v="2013-05-09T00:00:00"/>
    <x v="0"/>
    <x v="39"/>
    <s v="79 Elliott St,Balmain"/>
    <s v="Sydney"/>
    <x v="1"/>
    <x v="0"/>
    <x v="9"/>
    <x v="1"/>
    <x v="30"/>
    <x v="1"/>
    <s v="Medium Box"/>
    <x v="1"/>
    <d v="2013-05-10T00:00:00"/>
    <n v="8.82"/>
    <n v="20.99"/>
    <n v="12.169999999999998"/>
    <n v="8"/>
    <n v="167.92"/>
    <n v="0.09"/>
    <n v="15.112799999999998"/>
    <n v="152.80719999999999"/>
    <n v="4.8099999999999996"/>
    <n v="157.6172"/>
  </r>
  <r>
    <s v="5081-1"/>
    <d v="2013-05-09T00:00:00"/>
    <x v="0"/>
    <x v="40"/>
    <s v="240-242 Johnston Street,Fitzroy"/>
    <s v="Melbourne"/>
    <x v="0"/>
    <x v="2"/>
    <x v="1"/>
    <x v="1"/>
    <x v="7"/>
    <x v="0"/>
    <s v="Wrap Bag"/>
    <x v="0"/>
    <d v="2013-05-11T00:00:00"/>
    <n v="1.0900000000000001"/>
    <n v="1.68"/>
    <n v="0.58999999999999986"/>
    <n v="18"/>
    <n v="30.24"/>
    <n v="0.06"/>
    <n v="1.8143999999999998"/>
    <n v="28.425599999999999"/>
    <n v="1"/>
    <n v="29.425599999999999"/>
  </r>
  <r>
    <s v="5084-1"/>
    <d v="2013-05-13T00:00:00"/>
    <x v="0"/>
    <x v="1"/>
    <s v="101/12 Victoria Ave, Perth"/>
    <s v="Melbourne"/>
    <x v="0"/>
    <x v="0"/>
    <x v="1"/>
    <x v="4"/>
    <x v="20"/>
    <x v="0"/>
    <s v="Wrap Bag"/>
    <x v="1"/>
    <d v="2013-05-15T00:00:00"/>
    <n v="2.52"/>
    <n v="4"/>
    <n v="1.48"/>
    <n v="19"/>
    <n v="76"/>
    <n v="0.09"/>
    <n v="6.84"/>
    <n v="69.16"/>
    <n v="1.3"/>
    <n v="70.459999999999994"/>
  </r>
  <r>
    <s v="5086-1"/>
    <d v="2013-05-14T00:00:00"/>
    <x v="0"/>
    <x v="41"/>
    <s v="412 Brunswick St,Fitzroy"/>
    <s v="Melbourne"/>
    <x v="0"/>
    <x v="0"/>
    <x v="1"/>
    <x v="0"/>
    <x v="31"/>
    <x v="0"/>
    <s v="Small Box"/>
    <x v="0"/>
    <d v="2013-05-15T00:00:00"/>
    <n v="13.88"/>
    <n v="22.38"/>
    <n v="8.4999999999999982"/>
    <n v="26"/>
    <n v="581.88"/>
    <n v="0.1"/>
    <n v="58.188000000000002"/>
    <n v="523.69200000000001"/>
    <n v="15.1"/>
    <n v="538.79200000000003"/>
  </r>
  <r>
    <s v="5087-1"/>
    <d v="2013-05-14T00:00:00"/>
    <x v="0"/>
    <x v="42"/>
    <s v="438 Victoria Avenue,Chatswood"/>
    <s v="Sydney"/>
    <x v="1"/>
    <x v="1"/>
    <x v="5"/>
    <x v="3"/>
    <x v="32"/>
    <x v="0"/>
    <s v="Wrap Bag"/>
    <x v="0"/>
    <d v="2013-05-16T00:00:00"/>
    <n v="21.56"/>
    <n v="36.549999999999997"/>
    <n v="14.989999999999998"/>
    <n v="45"/>
    <n v="1644.7499999999998"/>
    <n v="0.1"/>
    <n v="164.47499999999999"/>
    <n v="1480.2749999999999"/>
    <n v="13.89"/>
    <n v="1494.165"/>
  </r>
  <r>
    <s v="5089-1"/>
    <d v="2013-05-15T00:00:00"/>
    <x v="0"/>
    <x v="43"/>
    <s v="470 Anzac Parade,Kingsford"/>
    <s v="Sydney"/>
    <x v="1"/>
    <x v="2"/>
    <x v="8"/>
    <x v="0"/>
    <x v="33"/>
    <x v="1"/>
    <s v="Small Box"/>
    <x v="1"/>
    <d v="2013-05-16T00:00:00"/>
    <n v="19.78"/>
    <n v="45.99"/>
    <n v="26.21"/>
    <n v="14"/>
    <n v="643.86"/>
    <n v="0.02"/>
    <n v="12.8772"/>
    <n v="630.9828"/>
    <n v="4.99"/>
    <n v="635.97280000000001"/>
  </r>
  <r>
    <s v="5091-1"/>
    <d v="2013-05-19T00:00:00"/>
    <x v="0"/>
    <x v="44"/>
    <s v="152 Bunnerong Road,Eastgardens"/>
    <s v="Sydney"/>
    <x v="1"/>
    <x v="0"/>
    <x v="8"/>
    <x v="0"/>
    <x v="34"/>
    <x v="1"/>
    <s v="Medium Box"/>
    <x v="0"/>
    <d v="2013-05-20T00:00:00"/>
    <n v="9.91"/>
    <n v="15.99"/>
    <n v="6.08"/>
    <n v="7"/>
    <n v="111.93"/>
    <n v="0.03"/>
    <n v="3.3578999999999999"/>
    <n v="108.57210000000001"/>
    <n v="11.28"/>
    <n v="119.85210000000001"/>
  </r>
  <r>
    <s v="5093-1"/>
    <d v="2013-05-19T00:00:00"/>
    <x v="0"/>
    <x v="32"/>
    <s v="499-501 Lygon Street,Carlton North"/>
    <s v="Melbourne"/>
    <x v="0"/>
    <x v="0"/>
    <x v="0"/>
    <x v="3"/>
    <x v="35"/>
    <x v="0"/>
    <s v="Wrap Bag"/>
    <x v="0"/>
    <d v="2013-05-20T00:00:00"/>
    <n v="3.75"/>
    <n v="7.08"/>
    <n v="3.33"/>
    <n v="29"/>
    <n v="205.32"/>
    <n v="0.04"/>
    <n v="8.2127999999999997"/>
    <n v="197.10720000000001"/>
    <n v="2.35"/>
    <n v="199.4572"/>
  </r>
  <r>
    <s v="5095-1"/>
    <d v="2013-05-20T00:00:00"/>
    <x v="0"/>
    <x v="45"/>
    <s v="2/797 Botany Rd,Rosebery"/>
    <s v="Sydney"/>
    <x v="1"/>
    <x v="1"/>
    <x v="6"/>
    <x v="0"/>
    <x v="36"/>
    <x v="2"/>
    <s v="Small Pack"/>
    <x v="0"/>
    <d v="2013-05-21T00:00:00"/>
    <n v="5.5"/>
    <n v="12.22"/>
    <n v="6.7200000000000006"/>
    <n v="35"/>
    <n v="427.70000000000005"/>
    <n v="0"/>
    <n v="0"/>
    <n v="427.70000000000005"/>
    <n v="2.85"/>
    <n v="430.55000000000007"/>
  </r>
  <r>
    <s v="5097-1"/>
    <d v="2013-05-20T00:00:00"/>
    <x v="0"/>
    <x v="46"/>
    <s v="1737 Botany Rd,Banksmeadow"/>
    <s v="Sydney"/>
    <x v="1"/>
    <x v="3"/>
    <x v="3"/>
    <x v="3"/>
    <x v="37"/>
    <x v="0"/>
    <s v="Small Box"/>
    <x v="0"/>
    <d v="2013-05-22T00:00:00"/>
    <n v="13.64"/>
    <n v="20.98"/>
    <n v="7.34"/>
    <n v="47"/>
    <n v="986.06000000000006"/>
    <n v="0.1"/>
    <n v="98.606000000000009"/>
    <n v="887.45400000000006"/>
    <n v="1.49"/>
    <n v="888.94400000000007"/>
  </r>
  <r>
    <s v="5099-1"/>
    <d v="2013-05-21T00:00:00"/>
    <x v="0"/>
    <x v="37"/>
    <s v="221 Barkly St,St Kilda"/>
    <s v="Melbourne"/>
    <x v="0"/>
    <x v="2"/>
    <x v="0"/>
    <x v="0"/>
    <x v="13"/>
    <x v="0"/>
    <s v="Small Pack"/>
    <x v="0"/>
    <d v="2013-05-21T00:00:00"/>
    <n v="3.42"/>
    <n v="8.34"/>
    <n v="4.92"/>
    <n v="24"/>
    <n v="200.16"/>
    <n v="0.1"/>
    <n v="20.016000000000002"/>
    <n v="180.14400000000001"/>
    <n v="2.64"/>
    <n v="182.78399999999999"/>
  </r>
  <r>
    <s v="5101-1"/>
    <d v="2013-05-22T00:00:00"/>
    <x v="0"/>
    <x v="47"/>
    <s v="8 Orange Street"/>
    <s v="Perth"/>
    <x v="2"/>
    <x v="3"/>
    <x v="8"/>
    <x v="1"/>
    <x v="14"/>
    <x v="0"/>
    <s v="Small Box"/>
    <x v="1"/>
    <d v="2013-05-23T00:00:00"/>
    <n v="4.59"/>
    <n v="7.28"/>
    <n v="2.6900000000000004"/>
    <n v="2"/>
    <n v="14.56"/>
    <n v="0.08"/>
    <n v="1.1648000000000001"/>
    <n v="13.395200000000001"/>
    <n v="11.15"/>
    <n v="24.545200000000001"/>
  </r>
  <r>
    <s v="5103-1"/>
    <d v="2013-05-22T00:00:00"/>
    <x v="0"/>
    <x v="48"/>
    <s v="30 Wellington Street, Perth"/>
    <s v="Melbourne"/>
    <x v="0"/>
    <x v="1"/>
    <x v="0"/>
    <x v="1"/>
    <x v="38"/>
    <x v="0"/>
    <s v="Small Box"/>
    <x v="0"/>
    <d v="2013-05-24T00:00:00"/>
    <n v="1.18"/>
    <n v="1.88"/>
    <n v="0.7"/>
    <n v="1"/>
    <n v="1.88"/>
    <n v="0.05"/>
    <n v="9.4E-2"/>
    <n v="1.7859999999999998"/>
    <n v="1.49"/>
    <n v="3.2759999999999998"/>
  </r>
  <r>
    <s v="5104-1"/>
    <d v="2013-05-23T00:00:00"/>
    <x v="0"/>
    <x v="49"/>
    <s v="22 St Georges Terrace, Perth"/>
    <s v="Sydney"/>
    <x v="1"/>
    <x v="0"/>
    <x v="8"/>
    <x v="4"/>
    <x v="39"/>
    <x v="1"/>
    <s v="Small Box"/>
    <x v="1"/>
    <d v="2013-05-25T00:00:00"/>
    <n v="6.4"/>
    <n v="29.1"/>
    <n v="22.700000000000003"/>
    <n v="33"/>
    <n v="960.30000000000007"/>
    <n v="0.01"/>
    <n v="9.6030000000000015"/>
    <n v="950.69700000000012"/>
    <n v="4"/>
    <n v="954.69700000000012"/>
  </r>
  <r>
    <s v="5106-1"/>
    <d v="2013-05-26T00:00:00"/>
    <x v="0"/>
    <x v="50"/>
    <s v="523 King St,Newtown"/>
    <s v="Sydney"/>
    <x v="1"/>
    <x v="3"/>
    <x v="9"/>
    <x v="1"/>
    <x v="40"/>
    <x v="0"/>
    <s v="Small Box"/>
    <x v="0"/>
    <d v="2013-05-26T00:00:00"/>
    <n v="3.84"/>
    <n v="6.3"/>
    <n v="2.46"/>
    <n v="42"/>
    <n v="264.59999999999997"/>
    <n v="7.0000000000000007E-2"/>
    <n v="18.521999999999998"/>
    <n v="246.07799999999997"/>
    <n v="0.5"/>
    <n v="246.57799999999997"/>
  </r>
  <r>
    <s v="5108-1"/>
    <d v="2013-05-27T00:00:00"/>
    <x v="0"/>
    <x v="51"/>
    <s v="73 York St,Sydney"/>
    <s v="Sydney"/>
    <x v="1"/>
    <x v="0"/>
    <x v="8"/>
    <x v="4"/>
    <x v="41"/>
    <x v="1"/>
    <s v="Small Box"/>
    <x v="0"/>
    <d v="2013-05-28T00:00:00"/>
    <n v="156.5"/>
    <n v="300.97000000000003"/>
    <n v="144.47000000000003"/>
    <n v="14"/>
    <n v="4213.58"/>
    <n v="0.1"/>
    <n v="421.358"/>
    <n v="3792.2219999999998"/>
    <n v="7.18"/>
    <n v="3799.4019999999996"/>
  </r>
  <r>
    <s v="5109-1"/>
    <d v="2013-05-28T00:00:00"/>
    <x v="0"/>
    <x v="52"/>
    <s v="310 Wattle St,Ultimo"/>
    <s v="Sydney"/>
    <x v="1"/>
    <x v="1"/>
    <x v="9"/>
    <x v="2"/>
    <x v="42"/>
    <x v="0"/>
    <s v="Wrap Bag"/>
    <x v="0"/>
    <d v="2013-06-01T00:00:00"/>
    <n v="2.29"/>
    <n v="3.58"/>
    <n v="1.29"/>
    <n v="38"/>
    <n v="136.04"/>
    <n v="0.06"/>
    <n v="8.1623999999999999"/>
    <n v="127.87759999999999"/>
    <n v="1.63"/>
    <n v="129.5076"/>
  </r>
  <r>
    <s v="5111-1"/>
    <d v="2013-05-29T00:00:00"/>
    <x v="0"/>
    <x v="53"/>
    <s v="14/76 Newcastle Street"/>
    <s v="Perth"/>
    <x v="2"/>
    <x v="0"/>
    <x v="11"/>
    <x v="0"/>
    <x v="43"/>
    <x v="0"/>
    <s v="Small Box"/>
    <x v="1"/>
    <d v="2013-05-29T00:00:00"/>
    <n v="2.25"/>
    <n v="3.69"/>
    <n v="1.44"/>
    <n v="35"/>
    <n v="129.15"/>
    <n v="0.03"/>
    <n v="3.8744999999999998"/>
    <n v="125.27550000000001"/>
    <n v="2.5"/>
    <n v="127.77550000000001"/>
  </r>
  <r>
    <s v="5112-1"/>
    <d v="2013-05-29T00:00:00"/>
    <x v="0"/>
    <x v="54"/>
    <s v="14 Money Street, Perth"/>
    <s v="Perth"/>
    <x v="2"/>
    <x v="3"/>
    <x v="11"/>
    <x v="4"/>
    <x v="44"/>
    <x v="0"/>
    <s v="Small Box"/>
    <x v="1"/>
    <d v="2013-05-29T00:00:00"/>
    <n v="12.39"/>
    <n v="19.98"/>
    <n v="7.59"/>
    <n v="13"/>
    <n v="259.74"/>
    <n v="0.1"/>
    <n v="25.974000000000004"/>
    <n v="233.76600000000002"/>
    <n v="5.77"/>
    <n v="239.53600000000003"/>
  </r>
  <r>
    <s v="5113-1"/>
    <d v="2013-05-31T00:00:00"/>
    <x v="0"/>
    <x v="55"/>
    <s v="260 Marrickville Rd,Marrickville"/>
    <s v="Sydney"/>
    <x v="1"/>
    <x v="1"/>
    <x v="3"/>
    <x v="4"/>
    <x v="45"/>
    <x v="0"/>
    <s v="Small Box"/>
    <x v="0"/>
    <d v="2013-05-31T00:00:00"/>
    <n v="8.92"/>
    <n v="29.74"/>
    <n v="20.82"/>
    <n v="14"/>
    <n v="416.35999999999996"/>
    <n v="0.02"/>
    <n v="8.3271999999999995"/>
    <n v="408.03279999999995"/>
    <n v="6.64"/>
    <n v="414.67279999999994"/>
  </r>
  <r>
    <s v="5114-1"/>
    <d v="2013-05-31T00:00:00"/>
    <x v="0"/>
    <x v="56"/>
    <s v="188 Pitt Street,Sydney"/>
    <s v="Sydney"/>
    <x v="1"/>
    <x v="3"/>
    <x v="8"/>
    <x v="3"/>
    <x v="46"/>
    <x v="1"/>
    <s v="Small Box"/>
    <x v="0"/>
    <d v="2013-06-02T00:00:00"/>
    <n v="60.59"/>
    <n v="100.98"/>
    <n v="40.39"/>
    <n v="33"/>
    <n v="3332.34"/>
    <n v="0.05"/>
    <n v="166.61700000000002"/>
    <n v="3165.723"/>
    <n v="7.18"/>
    <n v="3172.9029999999998"/>
  </r>
  <r>
    <s v="5115-1"/>
    <d v="2013-05-31T00:00:00"/>
    <x v="0"/>
    <x v="57"/>
    <s v="221 Barkly St,St Kilda"/>
    <s v="Melbourne"/>
    <x v="0"/>
    <x v="2"/>
    <x v="0"/>
    <x v="2"/>
    <x v="47"/>
    <x v="0"/>
    <s v="Wrap Bag"/>
    <x v="0"/>
    <d v="2013-06-04T00:00:00"/>
    <n v="3.48"/>
    <n v="5.43"/>
    <n v="1.9499999999999997"/>
    <n v="29"/>
    <n v="157.47"/>
    <n v="7.0000000000000007E-2"/>
    <n v="11.022900000000002"/>
    <n v="146.44710000000001"/>
    <n v="0.95"/>
    <n v="147.39709999999999"/>
  </r>
  <r>
    <s v="5117-1"/>
    <d v="2013-06-02T00:00:00"/>
    <x v="0"/>
    <x v="58"/>
    <s v="Macquarie Centre Cnr Herring Road &amp; Waterloo Road,Macquarie Park"/>
    <s v="Sydney"/>
    <x v="1"/>
    <x v="3"/>
    <x v="3"/>
    <x v="2"/>
    <x v="48"/>
    <x v="1"/>
    <s v="Small Pack"/>
    <x v="0"/>
    <d v="2013-06-04T00:00:00"/>
    <n v="20.18"/>
    <n v="35.409999999999997"/>
    <n v="15.229999999999997"/>
    <n v="38"/>
    <n v="1345.58"/>
    <n v="0.03"/>
    <n v="40.367399999999996"/>
    <n v="1305.2125999999998"/>
    <n v="1.99"/>
    <n v="1307.2025999999998"/>
  </r>
  <r>
    <s v="5119-1"/>
    <d v="2013-06-04T00:00:00"/>
    <x v="0"/>
    <x v="59"/>
    <s v="211/25-29 Dixon St,Haymarket"/>
    <s v="Sydney"/>
    <x v="1"/>
    <x v="3"/>
    <x v="12"/>
    <x v="3"/>
    <x v="49"/>
    <x v="0"/>
    <s v="Wrap Bag"/>
    <x v="0"/>
    <d v="2013-06-06T00:00:00"/>
    <n v="1.76"/>
    <n v="3.38"/>
    <n v="1.6199999999999999"/>
    <n v="34"/>
    <n v="114.92"/>
    <n v="7.0000000000000007E-2"/>
    <n v="8.0444000000000013"/>
    <n v="106.87560000000001"/>
    <n v="0.85"/>
    <n v="107.7256"/>
  </r>
  <r>
    <s v="5120-1"/>
    <d v="2013-06-05T00:00:00"/>
    <x v="0"/>
    <x v="60"/>
    <s v="4A Lyons St,Strathfield"/>
    <s v="Sydney"/>
    <x v="1"/>
    <x v="0"/>
    <x v="8"/>
    <x v="1"/>
    <x v="11"/>
    <x v="0"/>
    <s v="Small Box"/>
    <x v="1"/>
    <d v="2013-06-07T00:00:00"/>
    <n v="36.020000000000003"/>
    <n v="58.1"/>
    <n v="22.08"/>
    <n v="10"/>
    <n v="581"/>
    <n v="0.09"/>
    <n v="52.29"/>
    <n v="528.71"/>
    <n v="1.49"/>
    <n v="530.20000000000005"/>
  </r>
  <r>
    <s v="5122-1"/>
    <d v="2013-06-05T00:00:00"/>
    <x v="0"/>
    <x v="61"/>
    <s v="501 George St,Sydney"/>
    <s v="Sydney"/>
    <x v="1"/>
    <x v="1"/>
    <x v="6"/>
    <x v="2"/>
    <x v="41"/>
    <x v="1"/>
    <s v="Small Box"/>
    <x v="0"/>
    <d v="2013-06-05T00:00:00"/>
    <n v="156.5"/>
    <n v="300.97000000000003"/>
    <n v="144.47000000000003"/>
    <n v="38"/>
    <n v="11436.86"/>
    <n v="0.09"/>
    <n v="1029.3173999999999"/>
    <n v="10407.542600000001"/>
    <n v="7.18"/>
    <n v="10414.722600000001"/>
  </r>
  <r>
    <s v="5124-1"/>
    <d v="2013-06-06T00:00:00"/>
    <x v="0"/>
    <x v="62"/>
    <s v="12 Princess Hwy,Sylvania"/>
    <s v="Sydney"/>
    <x v="1"/>
    <x v="3"/>
    <x v="3"/>
    <x v="4"/>
    <x v="13"/>
    <x v="0"/>
    <s v="Small Pack"/>
    <x v="0"/>
    <d v="2013-06-08T00:00:00"/>
    <n v="3.42"/>
    <n v="8.34"/>
    <n v="4.92"/>
    <n v="30"/>
    <n v="250.2"/>
    <n v="0.02"/>
    <n v="5.0039999999999996"/>
    <n v="245.196"/>
    <n v="2.64"/>
    <n v="247.83599999999998"/>
  </r>
  <r>
    <s v="5125-1"/>
    <d v="2013-06-07T00:00:00"/>
    <x v="0"/>
    <x v="63"/>
    <s v="24 Addison Rd,Marrickville"/>
    <s v="Sydney"/>
    <x v="1"/>
    <x v="1"/>
    <x v="13"/>
    <x v="3"/>
    <x v="46"/>
    <x v="1"/>
    <s v="Small Box"/>
    <x v="0"/>
    <d v="2013-06-08T00:00:00"/>
    <n v="60.59"/>
    <n v="100.98"/>
    <n v="40.39"/>
    <n v="29"/>
    <n v="2928.42"/>
    <n v="0.03"/>
    <n v="87.852599999999995"/>
    <n v="2840.5673999999999"/>
    <n v="7.18"/>
    <n v="2847.7473999999997"/>
  </r>
  <r>
    <s v="5127-1"/>
    <d v="2013-06-09T00:00:00"/>
    <x v="0"/>
    <x v="64"/>
    <s v="101 Murray Street, Perth"/>
    <s v="Sydney"/>
    <x v="1"/>
    <x v="1"/>
    <x v="11"/>
    <x v="3"/>
    <x v="50"/>
    <x v="0"/>
    <s v="Small Box"/>
    <x v="0"/>
    <d v="2013-06-09T00:00:00"/>
    <n v="178.83"/>
    <n v="415.88"/>
    <n v="237.04999999999998"/>
    <n v="2"/>
    <n v="831.76"/>
    <n v="7.0000000000000007E-2"/>
    <n v="58.223200000000006"/>
    <n v="773.53679999999997"/>
    <n v="11.37"/>
    <n v="784.90679999999998"/>
  </r>
  <r>
    <s v="5128-1"/>
    <d v="2013-06-10T00:00:00"/>
    <x v="0"/>
    <x v="65"/>
    <s v="85-113 Dunning Ave,Roseberry"/>
    <s v="Sydney"/>
    <x v="1"/>
    <x v="3"/>
    <x v="11"/>
    <x v="4"/>
    <x v="20"/>
    <x v="0"/>
    <s v="Wrap Bag"/>
    <x v="0"/>
    <d v="2013-06-12T00:00:00"/>
    <n v="2.52"/>
    <n v="4"/>
    <n v="1.48"/>
    <n v="39"/>
    <n v="156"/>
    <n v="0.08"/>
    <n v="12.48"/>
    <n v="143.52000000000001"/>
    <n v="1.3"/>
    <n v="144.82000000000002"/>
  </r>
  <r>
    <s v="5129-1"/>
    <d v="2013-06-11T00:00:00"/>
    <x v="0"/>
    <x v="66"/>
    <s v="85-113 Dunning Ave,Roseberry"/>
    <s v="Sydney"/>
    <x v="1"/>
    <x v="2"/>
    <x v="11"/>
    <x v="2"/>
    <x v="51"/>
    <x v="0"/>
    <s v="Small Box"/>
    <x v="0"/>
    <d v="2013-06-13T00:00:00"/>
    <n v="19.829999999999998"/>
    <n v="30.98"/>
    <n v="11.150000000000002"/>
    <n v="49"/>
    <n v="1518.02"/>
    <n v="0.09"/>
    <n v="136.62180000000001"/>
    <n v="1381.3982000000001"/>
    <n v="19.510000000000002"/>
    <n v="1400.9082000000001"/>
  </r>
  <r>
    <s v="5131-1"/>
    <d v="2013-06-15T00:00:00"/>
    <x v="0"/>
    <x v="67"/>
    <s v="61 York St,Sydney"/>
    <s v="Sydney"/>
    <x v="1"/>
    <x v="3"/>
    <x v="2"/>
    <x v="4"/>
    <x v="41"/>
    <x v="1"/>
    <s v="Small Box"/>
    <x v="0"/>
    <d v="2013-06-17T00:00:00"/>
    <n v="156.5"/>
    <n v="300.97000000000003"/>
    <n v="144.47000000000003"/>
    <n v="5"/>
    <n v="1504.8500000000001"/>
    <n v="7.0000000000000007E-2"/>
    <n v="105.33950000000002"/>
    <n v="1399.5105000000001"/>
    <n v="7.18"/>
    <n v="1406.6905000000002"/>
  </r>
  <r>
    <s v="5133-1"/>
    <d v="2013-06-15T00:00:00"/>
    <x v="0"/>
    <x v="68"/>
    <s v="240-242 Johnston Street,Fitzroy"/>
    <s v="Melbourne"/>
    <x v="0"/>
    <x v="2"/>
    <x v="1"/>
    <x v="0"/>
    <x v="52"/>
    <x v="0"/>
    <s v="Wrap Bag"/>
    <x v="1"/>
    <d v="2013-06-17T00:00:00"/>
    <n v="2.9"/>
    <n v="4.76"/>
    <n v="1.8599999999999999"/>
    <n v="27"/>
    <n v="128.51999999999998"/>
    <n v="7.0000000000000007E-2"/>
    <n v="8.9963999999999995"/>
    <n v="119.52359999999999"/>
    <n v="0.88"/>
    <n v="120.40359999999998"/>
  </r>
  <r>
    <s v="5134-1"/>
    <d v="2013-06-16T00:00:00"/>
    <x v="0"/>
    <x v="69"/>
    <s v="224A Gertrude St,Fitzroy"/>
    <s v="Melbourne"/>
    <x v="0"/>
    <x v="1"/>
    <x v="1"/>
    <x v="2"/>
    <x v="41"/>
    <x v="1"/>
    <s v="Small Box"/>
    <x v="0"/>
    <d v="2013-06-16T00:00:00"/>
    <n v="156.5"/>
    <n v="300.97000000000003"/>
    <n v="144.47000000000003"/>
    <n v="1"/>
    <n v="300.97000000000003"/>
    <n v="0.06"/>
    <n v="18.058199999999999"/>
    <n v="282.91180000000003"/>
    <n v="7.18"/>
    <n v="290.09180000000003"/>
  </r>
  <r>
    <s v="5135-1"/>
    <d v="2013-06-20T00:00:00"/>
    <x v="0"/>
    <x v="18"/>
    <s v="1737 Botany Rd,Banksmeadow"/>
    <s v="Sydney"/>
    <x v="1"/>
    <x v="3"/>
    <x v="3"/>
    <x v="4"/>
    <x v="42"/>
    <x v="0"/>
    <s v="Wrap Bag"/>
    <x v="0"/>
    <d v="2013-06-21T00:00:00"/>
    <n v="2.29"/>
    <n v="3.58"/>
    <n v="1.29"/>
    <n v="10"/>
    <n v="35.799999999999997"/>
    <n v="0.05"/>
    <n v="1.79"/>
    <n v="34.01"/>
    <n v="1.63"/>
    <n v="35.64"/>
  </r>
  <r>
    <s v="5137-1"/>
    <d v="2013-06-21T00:00:00"/>
    <x v="0"/>
    <x v="70"/>
    <s v="152 Bunnerong Road,Eastgardens"/>
    <s v="Sydney"/>
    <x v="1"/>
    <x v="1"/>
    <x v="8"/>
    <x v="4"/>
    <x v="6"/>
    <x v="0"/>
    <s v="Small Box"/>
    <x v="0"/>
    <d v="2013-06-22T00:00:00"/>
    <n v="99.39"/>
    <n v="162.93"/>
    <n v="63.540000000000006"/>
    <n v="7"/>
    <n v="1140.51"/>
    <n v="0.03"/>
    <n v="34.215299999999999"/>
    <n v="1106.2946999999999"/>
    <n v="19.989999999999998"/>
    <n v="1126.2846999999999"/>
  </r>
  <r>
    <s v="5138-1"/>
    <d v="2013-06-21T00:00:00"/>
    <x v="0"/>
    <x v="71"/>
    <s v="180 High Street,Windsor"/>
    <s v="Melbourne"/>
    <x v="0"/>
    <x v="3"/>
    <x v="1"/>
    <x v="0"/>
    <x v="53"/>
    <x v="0"/>
    <s v="Wrap Bag"/>
    <x v="1"/>
    <d v="2013-06-23T00:00:00"/>
    <n v="1.6"/>
    <n v="2.62"/>
    <n v="1.02"/>
    <n v="34"/>
    <n v="89.08"/>
    <n v="0.08"/>
    <n v="7.1264000000000003"/>
    <n v="81.953599999999994"/>
    <n v="0.8"/>
    <n v="82.753599999999992"/>
  </r>
  <r>
    <s v="5140-1"/>
    <d v="2013-06-24T00:00:00"/>
    <x v="0"/>
    <x v="72"/>
    <s v="8 Quay Street,Haymarket"/>
    <s v="Sydney"/>
    <x v="1"/>
    <x v="1"/>
    <x v="2"/>
    <x v="0"/>
    <x v="54"/>
    <x v="0"/>
    <s v="Small Box"/>
    <x v="0"/>
    <d v="2013-06-25T00:00:00"/>
    <n v="3.4"/>
    <n v="5.4"/>
    <n v="2.0000000000000004"/>
    <n v="25"/>
    <n v="135"/>
    <n v="0.09"/>
    <n v="12.15"/>
    <n v="122.85"/>
    <n v="7.78"/>
    <n v="130.63"/>
  </r>
  <r>
    <s v="5142-1"/>
    <d v="2013-06-25T00:00:00"/>
    <x v="0"/>
    <x v="73"/>
    <s v="508/130 Mounts Bay Road, Perth"/>
    <s v="Perth"/>
    <x v="2"/>
    <x v="0"/>
    <x v="8"/>
    <x v="0"/>
    <x v="55"/>
    <x v="0"/>
    <s v="Wrap Bag"/>
    <x v="0"/>
    <d v="2013-06-26T00:00:00"/>
    <n v="11.11"/>
    <n v="19.84"/>
    <n v="8.73"/>
    <n v="26"/>
    <n v="515.84"/>
    <n v="7.0000000000000007E-2"/>
    <n v="36.108800000000002"/>
    <n v="479.73120000000006"/>
    <n v="4.0999999999999996"/>
    <n v="483.83120000000008"/>
  </r>
  <r>
    <s v="5144-1"/>
    <d v="2013-06-26T00:00:00"/>
    <x v="0"/>
    <x v="74"/>
    <s v="6 Brookman Street"/>
    <s v="Perth"/>
    <x v="2"/>
    <x v="1"/>
    <x v="5"/>
    <x v="1"/>
    <x v="16"/>
    <x v="0"/>
    <s v="Wrap Bag"/>
    <x v="0"/>
    <d v="2013-06-27T00:00:00"/>
    <n v="1.82"/>
    <n v="2.98"/>
    <n v="1.1599999999999999"/>
    <n v="3"/>
    <n v="8.94"/>
    <n v="0.09"/>
    <n v="0.80459999999999987"/>
    <n v="8.1353999999999989"/>
    <n v="1.58"/>
    <n v="9.7153999999999989"/>
  </r>
  <r>
    <s v="5148-1"/>
    <d v="2013-06-29T00:00:00"/>
    <x v="0"/>
    <x v="75"/>
    <s v="120 Hardware St,Melbourne"/>
    <s v="Melbourne"/>
    <x v="0"/>
    <x v="0"/>
    <x v="0"/>
    <x v="4"/>
    <x v="56"/>
    <x v="0"/>
    <s v="Small Box"/>
    <x v="0"/>
    <d v="2013-07-01T00:00:00"/>
    <n v="1.33"/>
    <n v="2.08"/>
    <n v="0.75"/>
    <n v="44"/>
    <n v="91.52000000000001"/>
    <n v="0.04"/>
    <n v="3.6608000000000005"/>
    <n v="87.859200000000016"/>
    <n v="1.49"/>
    <n v="89.34920000000001"/>
  </r>
  <r>
    <s v="5150-1"/>
    <d v="2013-06-29T00:00:00"/>
    <x v="0"/>
    <x v="76"/>
    <s v="106 Ebley Street,Bondi Junction"/>
    <s v="Sydney"/>
    <x v="1"/>
    <x v="3"/>
    <x v="2"/>
    <x v="3"/>
    <x v="57"/>
    <x v="1"/>
    <s v="Medium Box"/>
    <x v="0"/>
    <d v="2013-07-01T00:00:00"/>
    <n v="7.92"/>
    <n v="12.99"/>
    <n v="5.07"/>
    <n v="49"/>
    <n v="636.51"/>
    <n v="7.0000000000000007E-2"/>
    <n v="44.555700000000002"/>
    <n v="591.95429999999999"/>
    <n v="9.44"/>
    <n v="601.39430000000004"/>
  </r>
  <r>
    <s v="5152-1"/>
    <d v="2013-06-30T00:00:00"/>
    <x v="0"/>
    <x v="77"/>
    <s v="85-113 Dunning Ave,Rosebery"/>
    <s v="Sydney"/>
    <x v="1"/>
    <x v="3"/>
    <x v="11"/>
    <x v="2"/>
    <x v="23"/>
    <x v="1"/>
    <s v="Small Box"/>
    <x v="0"/>
    <d v="2013-07-04T00:00:00"/>
    <n v="6.39"/>
    <n v="19.98"/>
    <n v="13.59"/>
    <n v="19"/>
    <n v="379.62"/>
    <n v="0.08"/>
    <n v="30.369600000000002"/>
    <n v="349.25040000000001"/>
    <n v="4"/>
    <n v="353.25040000000001"/>
  </r>
  <r>
    <s v="5154-1"/>
    <d v="2013-07-02T00:00:00"/>
    <x v="0"/>
    <x v="78"/>
    <s v="359 Crown Street,Surry Hills"/>
    <s v="Sydney"/>
    <x v="1"/>
    <x v="2"/>
    <x v="4"/>
    <x v="0"/>
    <x v="29"/>
    <x v="1"/>
    <s v="Small Pack"/>
    <x v="1"/>
    <d v="2013-07-03T00:00:00"/>
    <n v="1.87"/>
    <n v="8.1199999999999992"/>
    <n v="6.2499999999999991"/>
    <n v="32"/>
    <n v="259.83999999999997"/>
    <n v="0.08"/>
    <n v="20.787199999999999"/>
    <n v="239.05279999999999"/>
    <n v="2.83"/>
    <n v="241.8828"/>
  </r>
  <r>
    <s v="5156-1"/>
    <d v="2013-07-03T00:00:00"/>
    <x v="0"/>
    <x v="79"/>
    <s v="8 Rankins Lane ,Melbourne"/>
    <s v="Melbourne"/>
    <x v="0"/>
    <x v="0"/>
    <x v="1"/>
    <x v="0"/>
    <x v="58"/>
    <x v="0"/>
    <s v="Small Box"/>
    <x v="0"/>
    <d v="2013-07-05T00:00:00"/>
    <n v="1.98"/>
    <n v="3.15"/>
    <n v="1.17"/>
    <n v="23"/>
    <n v="72.45"/>
    <n v="0.01"/>
    <n v="0.72450000000000003"/>
    <n v="71.725499999999997"/>
    <n v="0.49"/>
    <n v="72.215499999999992"/>
  </r>
  <r>
    <s v="5158-1"/>
    <d v="2013-07-03T00:00:00"/>
    <x v="0"/>
    <x v="80"/>
    <s v="Hoyts Entertainment Quarter 122 Lang Road,Moore Park"/>
    <s v="Sydney"/>
    <x v="1"/>
    <x v="1"/>
    <x v="8"/>
    <x v="3"/>
    <x v="59"/>
    <x v="0"/>
    <s v="Small Box"/>
    <x v="0"/>
    <d v="2013-07-05T00:00:00"/>
    <n v="16.850000000000001"/>
    <n v="27.18"/>
    <n v="10.329999999999998"/>
    <n v="34"/>
    <n v="924.12"/>
    <n v="0.1"/>
    <n v="92.412000000000006"/>
    <n v="831.70799999999997"/>
    <n v="8.23"/>
    <n v="839.93799999999999"/>
  </r>
  <r>
    <s v="5159-1"/>
    <d v="2013-07-04T00:00:00"/>
    <x v="0"/>
    <x v="81"/>
    <s v="180 High Street,Windsor"/>
    <s v="Melbourne"/>
    <x v="0"/>
    <x v="3"/>
    <x v="1"/>
    <x v="1"/>
    <x v="53"/>
    <x v="0"/>
    <s v="Wrap Bag"/>
    <x v="0"/>
    <d v="2013-07-05T00:00:00"/>
    <n v="1.6"/>
    <n v="2.62"/>
    <n v="1.02"/>
    <n v="21"/>
    <n v="55.02"/>
    <n v="0.05"/>
    <n v="2.7510000000000003"/>
    <n v="52.269000000000005"/>
    <n v="0.8"/>
    <n v="53.069000000000003"/>
  </r>
  <r>
    <s v="5160-1"/>
    <d v="2013-07-05T00:00:00"/>
    <x v="0"/>
    <x v="82"/>
    <s v="32/82 King Street, Perth"/>
    <s v="Melbourne"/>
    <x v="0"/>
    <x v="1"/>
    <x v="1"/>
    <x v="3"/>
    <x v="30"/>
    <x v="1"/>
    <s v="Medium Box"/>
    <x v="0"/>
    <d v="2013-07-07T00:00:00"/>
    <n v="8.82"/>
    <n v="20.99"/>
    <n v="12.169999999999998"/>
    <n v="41"/>
    <n v="860.58999999999992"/>
    <n v="0.02"/>
    <n v="17.2118"/>
    <n v="843.37819999999988"/>
    <n v="4.8099999999999996"/>
    <n v="848.18819999999982"/>
  </r>
  <r>
    <s v="5160-2"/>
    <d v="2013-07-05T00:00:00"/>
    <x v="0"/>
    <x v="82"/>
    <s v="32/82 King Street, Perth"/>
    <s v="Melbourne"/>
    <x v="0"/>
    <x v="1"/>
    <x v="1"/>
    <x v="3"/>
    <x v="54"/>
    <x v="0"/>
    <s v="Small Box"/>
    <x v="1"/>
    <d v="2013-07-07T00:00:00"/>
    <n v="3.4"/>
    <n v="5.4"/>
    <n v="2.0000000000000004"/>
    <n v="26"/>
    <n v="140.4"/>
    <n v="0.05"/>
    <n v="7.0200000000000005"/>
    <n v="133.38"/>
    <n v="7.78"/>
    <n v="141.16"/>
  </r>
  <r>
    <s v="5163-1"/>
    <d v="2013-07-06T00:00:00"/>
    <x v="0"/>
    <x v="18"/>
    <s v="1737 Botany Rd,Banksmeadow"/>
    <s v="Sydney"/>
    <x v="1"/>
    <x v="3"/>
    <x v="3"/>
    <x v="4"/>
    <x v="60"/>
    <x v="0"/>
    <s v="Small Box"/>
    <x v="0"/>
    <d v="2013-07-06T00:00:00"/>
    <n v="21.56"/>
    <n v="35.94"/>
    <n v="14.379999999999999"/>
    <n v="28"/>
    <n v="1006.3199999999999"/>
    <n v="0.01"/>
    <n v="10.0632"/>
    <n v="996.25679999999988"/>
    <n v="6.66"/>
    <n v="1002.9167999999999"/>
  </r>
  <r>
    <s v="5165-1"/>
    <d v="2013-07-10T00:00:00"/>
    <x v="0"/>
    <x v="83"/>
    <s v="Macquarie Centre Cnr Herring Road &amp; Waterloo Road,Macquarie Park"/>
    <s v="Sydney"/>
    <x v="1"/>
    <x v="1"/>
    <x v="3"/>
    <x v="1"/>
    <x v="61"/>
    <x v="0"/>
    <s v="Small Box"/>
    <x v="0"/>
    <d v="2013-07-10T00:00:00"/>
    <n v="2.74"/>
    <n v="4.49"/>
    <n v="1.75"/>
    <n v="11"/>
    <n v="49.39"/>
    <n v="0.08"/>
    <n v="3.9512"/>
    <n v="45.438800000000001"/>
    <n v="1.49"/>
    <n v="46.928800000000003"/>
  </r>
  <r>
    <s v="5166-1"/>
    <d v="2013-07-10T00:00:00"/>
    <x v="0"/>
    <x v="23"/>
    <s v="99 Lygon Street,East Brunswick"/>
    <s v="Melbourne"/>
    <x v="0"/>
    <x v="1"/>
    <x v="1"/>
    <x v="3"/>
    <x v="62"/>
    <x v="0"/>
    <s v="Wrap Bag"/>
    <x v="0"/>
    <d v="2013-07-13T00:00:00"/>
    <n v="4.37"/>
    <n v="9.11"/>
    <n v="4.7399999999999993"/>
    <n v="6"/>
    <n v="54.66"/>
    <n v="0.04"/>
    <n v="2.1863999999999999"/>
    <n v="52.473599999999998"/>
    <n v="2.25"/>
    <n v="54.723599999999998"/>
  </r>
  <r>
    <s v="5168-1"/>
    <d v="2013-07-15T00:00:00"/>
    <x v="0"/>
    <x v="84"/>
    <s v="Shop 1, 186-190 Church Street,Parramatta;46a Macleay Street,Potts Point"/>
    <s v="Sydney"/>
    <x v="1"/>
    <x v="2"/>
    <x v="11"/>
    <x v="1"/>
    <x v="63"/>
    <x v="0"/>
    <s v="Wrap Bag"/>
    <x v="0"/>
    <d v="2013-07-16T00:00:00"/>
    <n v="3.88"/>
    <n v="6.47"/>
    <n v="2.59"/>
    <n v="20"/>
    <n v="129.4"/>
    <n v="0.02"/>
    <n v="2.5880000000000001"/>
    <n v="126.81200000000001"/>
    <n v="1.22"/>
    <n v="128.03200000000001"/>
  </r>
  <r>
    <s v="5168-2"/>
    <d v="2013-07-15T00:00:00"/>
    <x v="0"/>
    <x v="84"/>
    <s v="Shop 1, 186-190 Church Street,Parramatta;46a Macleay Street,Potts Point"/>
    <s v="Sydney"/>
    <x v="1"/>
    <x v="2"/>
    <x v="11"/>
    <x v="1"/>
    <x v="64"/>
    <x v="0"/>
    <s v="Wrap Bag"/>
    <x v="0"/>
    <d v="2013-07-17T00:00:00"/>
    <n v="1.31"/>
    <n v="2.84"/>
    <n v="1.5299999999999998"/>
    <n v="39"/>
    <n v="110.75999999999999"/>
    <n v="7.0000000000000007E-2"/>
    <n v="7.7532000000000005"/>
    <n v="103.00679999999998"/>
    <n v="0.93"/>
    <n v="103.93679999999999"/>
  </r>
  <r>
    <s v="5171-1"/>
    <d v="2013-07-16T00:00:00"/>
    <x v="0"/>
    <x v="85"/>
    <s v="81 MacLeay St,Potts Point"/>
    <s v="Sydney"/>
    <x v="1"/>
    <x v="0"/>
    <x v="6"/>
    <x v="1"/>
    <x v="65"/>
    <x v="0"/>
    <s v="Wrap Bag"/>
    <x v="0"/>
    <d v="2013-07-17T00:00:00"/>
    <n v="0.24"/>
    <n v="1.26"/>
    <n v="1.02"/>
    <n v="10"/>
    <n v="12.6"/>
    <n v="0.1"/>
    <n v="1.26"/>
    <n v="11.34"/>
    <n v="0.7"/>
    <n v="12.04"/>
  </r>
  <r>
    <s v="5173-1"/>
    <d v="2013-07-16T00:00:00"/>
    <x v="0"/>
    <x v="26"/>
    <s v="8 Rankins Lane ,Melbourne"/>
    <s v="Melbourne"/>
    <x v="0"/>
    <x v="1"/>
    <x v="1"/>
    <x v="0"/>
    <x v="52"/>
    <x v="0"/>
    <s v="Wrap Bag"/>
    <x v="0"/>
    <d v="2013-07-16T00:00:00"/>
    <n v="2.9"/>
    <n v="4.76"/>
    <n v="1.8599999999999999"/>
    <n v="13"/>
    <n v="61.879999999999995"/>
    <n v="7.0000000000000007E-2"/>
    <n v="4.3315999999999999"/>
    <n v="57.548399999999994"/>
    <n v="0.88"/>
    <n v="58.428399999999996"/>
  </r>
  <r>
    <s v="5174-1"/>
    <d v="2013-07-17T00:00:00"/>
    <x v="0"/>
    <x v="86"/>
    <s v="499-501 Lygon Street,Carlton North"/>
    <s v="Melbourne"/>
    <x v="0"/>
    <x v="2"/>
    <x v="0"/>
    <x v="2"/>
    <x v="66"/>
    <x v="1"/>
    <s v="Small Box"/>
    <x v="1"/>
    <d v="2013-07-17T00:00:00"/>
    <n v="54.52"/>
    <n v="100.97"/>
    <n v="46.449999999999996"/>
    <n v="35"/>
    <n v="3533.95"/>
    <n v="0.05"/>
    <n v="176.69749999999999"/>
    <n v="3357.2524999999996"/>
    <n v="7.18"/>
    <n v="3364.4324999999994"/>
  </r>
  <r>
    <s v="5175-1"/>
    <d v="2013-07-18T00:00:00"/>
    <x v="0"/>
    <x v="87"/>
    <s v="6 Brookman Street, Perth"/>
    <s v="Melbourne"/>
    <x v="0"/>
    <x v="0"/>
    <x v="0"/>
    <x v="1"/>
    <x v="13"/>
    <x v="0"/>
    <s v="Small Pack"/>
    <x v="1"/>
    <d v="2013-07-20T00:00:00"/>
    <n v="3.42"/>
    <n v="8.34"/>
    <n v="4.92"/>
    <n v="15"/>
    <n v="125.1"/>
    <n v="0"/>
    <n v="0"/>
    <n v="125.1"/>
    <n v="2.64"/>
    <n v="127.74"/>
  </r>
  <r>
    <s v="5177-1"/>
    <d v="2013-07-20T00:00:00"/>
    <x v="0"/>
    <x v="71"/>
    <s v="180 High Street,Windsor"/>
    <s v="Melbourne"/>
    <x v="0"/>
    <x v="3"/>
    <x v="1"/>
    <x v="1"/>
    <x v="9"/>
    <x v="0"/>
    <s v="Small Box"/>
    <x v="1"/>
    <d v="2013-07-22T00:00:00"/>
    <n v="5.33"/>
    <n v="8.6"/>
    <n v="3.2699999999999996"/>
    <n v="23"/>
    <n v="197.79999999999998"/>
    <n v="0.02"/>
    <n v="3.956"/>
    <n v="193.84399999999999"/>
    <n v="6.19"/>
    <n v="200.03399999999999"/>
  </r>
  <r>
    <s v="5178-1"/>
    <d v="2013-07-21T00:00:00"/>
    <x v="0"/>
    <x v="88"/>
    <s v="Westfield Parramatta,Parramatta"/>
    <s v="Sydney"/>
    <x v="1"/>
    <x v="1"/>
    <x v="7"/>
    <x v="0"/>
    <x v="67"/>
    <x v="1"/>
    <s v="Jumbo Drum"/>
    <x v="2"/>
    <d v="2013-07-23T00:00:00"/>
    <n v="278.99"/>
    <n v="449.99"/>
    <n v="171"/>
    <n v="12"/>
    <n v="5399.88"/>
    <n v="0.06"/>
    <n v="323.99279999999999"/>
    <n v="5075.8872000000001"/>
    <n v="49"/>
    <n v="5124.8872000000001"/>
  </r>
  <r>
    <s v="5180-1"/>
    <d v="2013-07-22T00:00:00"/>
    <x v="0"/>
    <x v="89"/>
    <s v="Macquarie Centre Cnr Herring Road &amp; Waterloo Road,Macquarie Park"/>
    <s v="Sydney"/>
    <x v="1"/>
    <x v="1"/>
    <x v="3"/>
    <x v="0"/>
    <x v="56"/>
    <x v="0"/>
    <s v="Small Box"/>
    <x v="1"/>
    <d v="2013-07-23T00:00:00"/>
    <n v="1.33"/>
    <n v="2.08"/>
    <n v="0.75"/>
    <n v="11"/>
    <n v="22.880000000000003"/>
    <n v="0.01"/>
    <n v="0.22880000000000003"/>
    <n v="22.651200000000003"/>
    <n v="1.49"/>
    <n v="24.141200000000001"/>
  </r>
  <r>
    <s v="5181-1"/>
    <d v="2013-07-22T00:00:00"/>
    <x v="0"/>
    <x v="20"/>
    <s v="501 George St,Sydney"/>
    <s v="Sydney"/>
    <x v="1"/>
    <x v="1"/>
    <x v="6"/>
    <x v="2"/>
    <x v="68"/>
    <x v="1"/>
    <s v="Small Box"/>
    <x v="0"/>
    <d v="2013-07-26T00:00:00"/>
    <n v="6.51"/>
    <n v="30.98"/>
    <n v="24.47"/>
    <n v="29"/>
    <n v="898.42"/>
    <n v="0.03"/>
    <n v="26.952599999999997"/>
    <n v="871.4674"/>
    <n v="6.5"/>
    <n v="877.9674"/>
  </r>
  <r>
    <s v="5183-1"/>
    <d v="2013-07-23T00:00:00"/>
    <x v="0"/>
    <x v="13"/>
    <s v="541 Church St ,Richmond"/>
    <s v="Melbourne"/>
    <x v="0"/>
    <x v="1"/>
    <x v="0"/>
    <x v="3"/>
    <x v="69"/>
    <x v="0"/>
    <s v="Wrap Bag"/>
    <x v="0"/>
    <d v="2013-07-25T00:00:00"/>
    <n v="2.98"/>
    <n v="5.84"/>
    <n v="2.86"/>
    <n v="11"/>
    <n v="64.239999999999995"/>
    <n v="0.01"/>
    <n v="0.64239999999999997"/>
    <n v="63.597599999999993"/>
    <n v="0.83"/>
    <n v="64.427599999999998"/>
  </r>
  <r>
    <s v="5185-1"/>
    <d v="2013-07-24T00:00:00"/>
    <x v="0"/>
    <x v="90"/>
    <s v="470 Anzac Parade,Kingsford"/>
    <s v="Sydney"/>
    <x v="1"/>
    <x v="0"/>
    <x v="8"/>
    <x v="1"/>
    <x v="70"/>
    <x v="0"/>
    <s v="Small Box"/>
    <x v="0"/>
    <d v="2013-07-26T00:00:00"/>
    <n v="3.65"/>
    <n v="5.98"/>
    <n v="2.3300000000000005"/>
    <n v="14"/>
    <n v="83.72"/>
    <n v="0.09"/>
    <n v="7.5347999999999997"/>
    <n v="76.185199999999995"/>
    <n v="1.49"/>
    <n v="77.67519999999999"/>
  </r>
  <r>
    <s v="5186-1"/>
    <d v="2013-07-26T00:00:00"/>
    <x v="0"/>
    <x v="91"/>
    <s v="14 Money Street"/>
    <s v="Perth"/>
    <x v="2"/>
    <x v="2"/>
    <x v="4"/>
    <x v="2"/>
    <x v="71"/>
    <x v="0"/>
    <s v="Small Box"/>
    <x v="0"/>
    <d v="2013-07-31T00:00:00"/>
    <n v="4.46"/>
    <n v="10.89"/>
    <n v="6.4300000000000006"/>
    <n v="37"/>
    <n v="402.93"/>
    <n v="0.06"/>
    <n v="24.175799999999999"/>
    <n v="378.75420000000003"/>
    <n v="4.5"/>
    <n v="383.25420000000003"/>
  </r>
  <r>
    <s v="5188-1"/>
    <d v="2013-07-26T00:00:00"/>
    <x v="0"/>
    <x v="92"/>
    <s v="180 High Street,Windsor"/>
    <s v="Melbourne"/>
    <x v="0"/>
    <x v="1"/>
    <x v="1"/>
    <x v="2"/>
    <x v="68"/>
    <x v="1"/>
    <s v="Small Box"/>
    <x v="0"/>
    <d v="2013-07-28T00:00:00"/>
    <n v="6.51"/>
    <n v="30.98"/>
    <n v="24.47"/>
    <n v="8"/>
    <n v="247.84"/>
    <n v="0.01"/>
    <n v="2.4784000000000002"/>
    <n v="245.36160000000001"/>
    <n v="6.5"/>
    <n v="251.86160000000001"/>
  </r>
  <r>
    <s v="5189-1"/>
    <d v="2013-07-27T00:00:00"/>
    <x v="0"/>
    <x v="93"/>
    <s v="60 Commercial Rd,Prahran"/>
    <s v="Melbourne"/>
    <x v="0"/>
    <x v="3"/>
    <x v="0"/>
    <x v="2"/>
    <x v="24"/>
    <x v="1"/>
    <s v="Small Box"/>
    <x v="0"/>
    <d v="2013-07-29T00:00:00"/>
    <n v="39.64"/>
    <n v="152.47999999999999"/>
    <n v="112.83999999999999"/>
    <n v="31"/>
    <n v="4726.88"/>
    <n v="7.0000000000000007E-2"/>
    <n v="330.88160000000005"/>
    <n v="4395.9984000000004"/>
    <n v="6.5"/>
    <n v="4402.4984000000004"/>
  </r>
  <r>
    <s v="5191-1"/>
    <d v="2013-07-28T00:00:00"/>
    <x v="0"/>
    <x v="47"/>
    <s v="8 Orange Street"/>
    <s v="Perth"/>
    <x v="2"/>
    <x v="1"/>
    <x v="8"/>
    <x v="3"/>
    <x v="72"/>
    <x v="0"/>
    <s v="Wrap Bag"/>
    <x v="0"/>
    <d v="2013-07-30T00:00:00"/>
    <n v="1.95"/>
    <n v="3.98"/>
    <n v="2.0300000000000002"/>
    <n v="30"/>
    <n v="119.4"/>
    <n v="0.1"/>
    <n v="11.940000000000001"/>
    <n v="107.46000000000001"/>
    <n v="0.83"/>
    <n v="108.29"/>
  </r>
  <r>
    <s v="5193-1"/>
    <d v="2013-07-29T00:00:00"/>
    <x v="0"/>
    <x v="94"/>
    <s v="224A Gertrude St,Fitzroy"/>
    <s v="Melbourne"/>
    <x v="0"/>
    <x v="3"/>
    <x v="1"/>
    <x v="3"/>
    <x v="73"/>
    <x v="0"/>
    <s v="Small Box"/>
    <x v="0"/>
    <d v="2013-07-30T00:00:00"/>
    <n v="1.94"/>
    <n v="3.08"/>
    <n v="1.1400000000000001"/>
    <n v="38"/>
    <n v="117.04"/>
    <n v="0.04"/>
    <n v="4.6816000000000004"/>
    <n v="112.3584"/>
    <n v="0.99"/>
    <n v="113.3484"/>
  </r>
  <r>
    <s v="5194-1"/>
    <d v="2013-07-30T00:00:00"/>
    <x v="0"/>
    <x v="95"/>
    <s v="27 Greenfield Parade,Bankstown"/>
    <s v="Sydney"/>
    <x v="1"/>
    <x v="1"/>
    <x v="3"/>
    <x v="3"/>
    <x v="74"/>
    <x v="1"/>
    <s v="Jumbo Drum"/>
    <x v="2"/>
    <d v="2013-07-31T00:00:00"/>
    <n v="76.790000000000006"/>
    <n v="119.99"/>
    <n v="43.199999999999989"/>
    <n v="24"/>
    <n v="2879.7599999999998"/>
    <n v="0.02"/>
    <n v="57.595199999999998"/>
    <n v="2822.1647999999996"/>
    <n v="14"/>
    <n v="2836.1647999999996"/>
  </r>
  <r>
    <s v="5195-1"/>
    <d v="2013-07-31T00:00:00"/>
    <x v="0"/>
    <x v="96"/>
    <s v="74 Lindsay Street, Perth"/>
    <s v="Sydney"/>
    <x v="1"/>
    <x v="2"/>
    <x v="13"/>
    <x v="4"/>
    <x v="75"/>
    <x v="0"/>
    <s v="Small Box"/>
    <x v="0"/>
    <d v="2013-08-01T00:00:00"/>
    <n v="1.84"/>
    <n v="2.88"/>
    <n v="1.0399999999999998"/>
    <n v="11"/>
    <n v="31.68"/>
    <n v="0.09"/>
    <n v="2.8512"/>
    <n v="28.828800000000001"/>
    <n v="1.49"/>
    <n v="30.3188"/>
  </r>
  <r>
    <s v="5195-2"/>
    <d v="2013-07-31T00:00:00"/>
    <x v="0"/>
    <x v="96"/>
    <s v="75 Lindsay Street, Perth"/>
    <s v="Sydney"/>
    <x v="1"/>
    <x v="2"/>
    <x v="13"/>
    <x v="4"/>
    <x v="23"/>
    <x v="1"/>
    <s v="Small Box"/>
    <x v="0"/>
    <d v="2013-08-02T00:00:00"/>
    <n v="6.39"/>
    <n v="19.98"/>
    <n v="13.59"/>
    <n v="43"/>
    <n v="859.14"/>
    <n v="0.1"/>
    <n v="85.914000000000001"/>
    <n v="773.226"/>
    <n v="4"/>
    <n v="777.226"/>
  </r>
  <r>
    <s v="5198-1"/>
    <d v="2013-08-02T00:00:00"/>
    <x v="0"/>
    <x v="97"/>
    <s v="1-2/299 Sussex St,Sydney"/>
    <s v="Sydney"/>
    <x v="1"/>
    <x v="1"/>
    <x v="9"/>
    <x v="3"/>
    <x v="76"/>
    <x v="0"/>
    <s v="Wrap Bag"/>
    <x v="1"/>
    <d v="2013-08-04T00:00:00"/>
    <n v="1.53"/>
    <n v="2.78"/>
    <n v="1.2499999999999998"/>
    <n v="40"/>
    <n v="111.19999999999999"/>
    <n v="0.03"/>
    <n v="3.3359999999999994"/>
    <n v="107.86399999999999"/>
    <n v="1.34"/>
    <n v="109.20399999999999"/>
  </r>
  <r>
    <s v="5200-1"/>
    <d v="2013-08-06T00:00:00"/>
    <x v="0"/>
    <x v="98"/>
    <s v="541 Church St,Richmond"/>
    <s v="Melbourne"/>
    <x v="0"/>
    <x v="0"/>
    <x v="0"/>
    <x v="1"/>
    <x v="77"/>
    <x v="0"/>
    <s v="Small Box"/>
    <x v="0"/>
    <d v="2013-08-08T00:00:00"/>
    <n v="2.2599999999999998"/>
    <n v="3.58"/>
    <n v="1.3200000000000003"/>
    <n v="46"/>
    <n v="164.68"/>
    <n v="0.06"/>
    <n v="9.8808000000000007"/>
    <n v="154.79920000000001"/>
    <n v="5.47"/>
    <n v="160.26920000000001"/>
  </r>
  <r>
    <s v="5201-1"/>
    <d v="2013-08-07T00:00:00"/>
    <x v="0"/>
    <x v="99"/>
    <s v="Crown Complex,Southbank"/>
    <s v="Melbourne"/>
    <x v="0"/>
    <x v="0"/>
    <x v="0"/>
    <x v="0"/>
    <x v="78"/>
    <x v="0"/>
    <s v="Small Pack"/>
    <x v="0"/>
    <d v="2013-08-09T00:00:00"/>
    <n v="1.46"/>
    <n v="3.57"/>
    <n v="2.11"/>
    <n v="23"/>
    <n v="82.11"/>
    <n v="0.09"/>
    <n v="7.3898999999999999"/>
    <n v="74.720100000000002"/>
    <n v="4.17"/>
    <n v="78.890100000000004"/>
  </r>
  <r>
    <s v="5202-1"/>
    <d v="2013-08-08T00:00:00"/>
    <x v="0"/>
    <x v="100"/>
    <s v="4A Lyons St,Strathfield"/>
    <s v="Sydney"/>
    <x v="1"/>
    <x v="0"/>
    <x v="8"/>
    <x v="3"/>
    <x v="68"/>
    <x v="1"/>
    <s v="Small Box"/>
    <x v="1"/>
    <d v="2013-08-09T00:00:00"/>
    <n v="6.51"/>
    <n v="30.98"/>
    <n v="24.47"/>
    <n v="44"/>
    <n v="1363.1200000000001"/>
    <n v="0.02"/>
    <n v="27.262400000000003"/>
    <n v="1335.8576"/>
    <n v="6.5"/>
    <n v="1342.3576"/>
  </r>
  <r>
    <s v="5204-1"/>
    <d v="2013-08-09T00:00:00"/>
    <x v="0"/>
    <x v="101"/>
    <s v="21 Wentworth St,Parramatta"/>
    <s v="Sydney"/>
    <x v="1"/>
    <x v="0"/>
    <x v="9"/>
    <x v="3"/>
    <x v="79"/>
    <x v="0"/>
    <s v="Small Box"/>
    <x v="0"/>
    <d v="2013-08-10T00:00:00"/>
    <n v="18.38"/>
    <n v="29.17"/>
    <n v="10.790000000000003"/>
    <n v="8"/>
    <n v="233.36"/>
    <n v="0.02"/>
    <n v="4.6672000000000002"/>
    <n v="228.69280000000001"/>
    <n v="6.27"/>
    <n v="234.96280000000002"/>
  </r>
  <r>
    <s v="5206-1"/>
    <d v="2013-08-09T00:00:00"/>
    <x v="0"/>
    <x v="102"/>
    <s v="499-501 Lygon Street,Carlton North"/>
    <s v="Melbourne"/>
    <x v="0"/>
    <x v="3"/>
    <x v="0"/>
    <x v="2"/>
    <x v="67"/>
    <x v="1"/>
    <s v="Large Box"/>
    <x v="0"/>
    <d v="2013-08-13T00:00:00"/>
    <n v="216"/>
    <n v="449.99"/>
    <n v="233.99"/>
    <n v="40"/>
    <n v="17999.599999999999"/>
    <n v="0.04"/>
    <n v="719.98399999999992"/>
    <n v="17279.615999999998"/>
    <n v="24.49"/>
    <n v="17304.106"/>
  </r>
  <r>
    <s v="5207-1"/>
    <d v="2013-08-09T00:00:00"/>
    <x v="0"/>
    <x v="103"/>
    <s v="Westfield Sydney,Sydney"/>
    <s v="Sydney"/>
    <x v="1"/>
    <x v="1"/>
    <x v="5"/>
    <x v="2"/>
    <x v="3"/>
    <x v="1"/>
    <s v="Jumbo Drum"/>
    <x v="2"/>
    <d v="2013-08-16T00:00:00"/>
    <n v="75"/>
    <n v="120.97"/>
    <n v="45.97"/>
    <n v="35"/>
    <n v="4233.95"/>
    <n v="0.08"/>
    <n v="338.71600000000001"/>
    <n v="3895.2339999999999"/>
    <n v="26.3"/>
    <n v="3921.5340000000001"/>
  </r>
  <r>
    <s v="5208-1"/>
    <d v="2013-08-10T00:00:00"/>
    <x v="0"/>
    <x v="104"/>
    <s v="224A Gertrude St,Fitzroy"/>
    <s v="Melbourne"/>
    <x v="0"/>
    <x v="2"/>
    <x v="1"/>
    <x v="0"/>
    <x v="80"/>
    <x v="0"/>
    <s v="Small Box"/>
    <x v="0"/>
    <d v="2013-08-12T00:00:00"/>
    <n v="3.5"/>
    <n v="5.74"/>
    <n v="2.2400000000000002"/>
    <n v="50"/>
    <n v="287"/>
    <n v="0.1"/>
    <n v="28.700000000000003"/>
    <n v="258.3"/>
    <n v="5.01"/>
    <n v="263.31"/>
  </r>
  <r>
    <s v="5209-1"/>
    <d v="2013-08-11T00:00:00"/>
    <x v="0"/>
    <x v="105"/>
    <s v="60 Commercial Rd,Prahran"/>
    <s v="Melbourne"/>
    <x v="0"/>
    <x v="1"/>
    <x v="0"/>
    <x v="2"/>
    <x v="81"/>
    <x v="0"/>
    <s v="Wrap Bag"/>
    <x v="0"/>
    <d v="2013-08-13T00:00:00"/>
    <n v="0.93"/>
    <n v="1.48"/>
    <n v="0.54999999999999993"/>
    <n v="19"/>
    <n v="28.12"/>
    <n v="0.09"/>
    <n v="2.5308000000000002"/>
    <n v="25.589200000000002"/>
    <n v="0.7"/>
    <n v="26.289200000000001"/>
  </r>
  <r>
    <s v="5211-1"/>
    <d v="2013-08-12T00:00:00"/>
    <x v="0"/>
    <x v="106"/>
    <s v="402 Argyle St,Moss Vale"/>
    <s v="Sydney"/>
    <x v="1"/>
    <x v="3"/>
    <x v="5"/>
    <x v="0"/>
    <x v="82"/>
    <x v="0"/>
    <s v="Small Box"/>
    <x v="1"/>
    <d v="2013-08-14T00:00:00"/>
    <n v="67.73"/>
    <n v="165.2"/>
    <n v="97.469999999999985"/>
    <n v="37"/>
    <n v="6112.4"/>
    <n v="0.04"/>
    <n v="244.49599999999998"/>
    <n v="5867.9039999999995"/>
    <n v="19.989999999999998"/>
    <n v="5887.8939999999993"/>
  </r>
  <r>
    <s v="5212-1"/>
    <d v="2013-08-14T00:00:00"/>
    <x v="0"/>
    <x v="22"/>
    <s v="Macquarie Centre Cnr Herring Road &amp; Waterloo Road,Macquarie Park"/>
    <s v="Sydney"/>
    <x v="1"/>
    <x v="1"/>
    <x v="3"/>
    <x v="2"/>
    <x v="83"/>
    <x v="0"/>
    <s v="Small Box"/>
    <x v="0"/>
    <d v="2013-08-23T00:00:00"/>
    <n v="2.1800000000000002"/>
    <n v="3.52"/>
    <n v="1.3399999999999999"/>
    <n v="12"/>
    <n v="42.24"/>
    <n v="0.04"/>
    <n v="1.6896000000000002"/>
    <n v="40.550400000000003"/>
    <n v="6.83"/>
    <n v="47.380400000000002"/>
  </r>
  <r>
    <s v="5213-1"/>
    <d v="2013-08-15T00:00:00"/>
    <x v="0"/>
    <x v="103"/>
    <s v="Westfield Sydney,Sydney"/>
    <s v="Sydney"/>
    <x v="1"/>
    <x v="1"/>
    <x v="5"/>
    <x v="0"/>
    <x v="64"/>
    <x v="0"/>
    <s v="Wrap Bag"/>
    <x v="1"/>
    <d v="2013-08-16T00:00:00"/>
    <n v="1.31"/>
    <n v="2.84"/>
    <n v="1.5299999999999998"/>
    <n v="13"/>
    <n v="36.92"/>
    <n v="0.01"/>
    <n v="0.36920000000000003"/>
    <n v="36.550800000000002"/>
    <n v="0.93"/>
    <n v="37.480800000000002"/>
  </r>
  <r>
    <s v="5214-1"/>
    <d v="2013-08-17T00:00:00"/>
    <x v="0"/>
    <x v="107"/>
    <s v="37/59 Brewer Street"/>
    <s v="Perth"/>
    <x v="2"/>
    <x v="1"/>
    <x v="8"/>
    <x v="3"/>
    <x v="20"/>
    <x v="0"/>
    <s v="Wrap Bag"/>
    <x v="0"/>
    <d v="2013-08-17T00:00:00"/>
    <n v="2.52"/>
    <n v="4"/>
    <n v="1.48"/>
    <n v="41"/>
    <n v="164"/>
    <n v="0.02"/>
    <n v="3.2800000000000002"/>
    <n v="160.72"/>
    <n v="1.3"/>
    <n v="162.02000000000001"/>
  </r>
  <r>
    <s v="5215-1"/>
    <d v="2013-08-20T00:00:00"/>
    <x v="0"/>
    <x v="108"/>
    <s v="523 King St,Newtown"/>
    <s v="Sydney"/>
    <x v="1"/>
    <x v="0"/>
    <x v="9"/>
    <x v="0"/>
    <x v="84"/>
    <x v="2"/>
    <s v="Large Box"/>
    <x v="1"/>
    <d v="2013-08-22T00:00:00"/>
    <n v="56.16"/>
    <n v="136.97999999999999"/>
    <n v="80.819999999999993"/>
    <n v="41"/>
    <n v="5616.1799999999994"/>
    <n v="0.04"/>
    <n v="224.64719999999997"/>
    <n v="5391.532799999999"/>
    <n v="24.49"/>
    <n v="5416.0227999999988"/>
  </r>
  <r>
    <s v="5216-1"/>
    <d v="2013-08-20T00:00:00"/>
    <x v="0"/>
    <x v="109"/>
    <s v="Hoyts Entertainment Quarter 122 Lang Road,Moore Park"/>
    <s v="Sydney"/>
    <x v="1"/>
    <x v="3"/>
    <x v="8"/>
    <x v="2"/>
    <x v="28"/>
    <x v="0"/>
    <s v="Wrap Bag"/>
    <x v="0"/>
    <d v="2013-08-22T00:00:00"/>
    <n v="3.47"/>
    <n v="6.68"/>
    <n v="3.2099999999999995"/>
    <n v="5"/>
    <n v="33.4"/>
    <n v="0.09"/>
    <n v="3.0059999999999998"/>
    <n v="30.393999999999998"/>
    <n v="1.5"/>
    <n v="31.893999999999998"/>
  </r>
  <r>
    <s v="5218-1"/>
    <d v="2013-08-22T00:00:00"/>
    <x v="0"/>
    <x v="110"/>
    <s v="1 John St,Waterloo"/>
    <s v="Sydney"/>
    <x v="1"/>
    <x v="3"/>
    <x v="10"/>
    <x v="2"/>
    <x v="82"/>
    <x v="0"/>
    <s v="Small Box"/>
    <x v="0"/>
    <d v="2013-08-24T00:00:00"/>
    <n v="67.73"/>
    <n v="165.2"/>
    <n v="97.469999999999985"/>
    <n v="23"/>
    <n v="3799.6"/>
    <n v="7.0000000000000007E-2"/>
    <n v="265.97200000000004"/>
    <n v="3533.6279999999997"/>
    <n v="19.989999999999998"/>
    <n v="3553.6179999999995"/>
  </r>
  <r>
    <s v="5220-1"/>
    <d v="2013-08-24T00:00:00"/>
    <x v="0"/>
    <x v="111"/>
    <s v="48 Albion St,Surry Hills"/>
    <s v="Sydney"/>
    <x v="1"/>
    <x v="0"/>
    <x v="5"/>
    <x v="3"/>
    <x v="85"/>
    <x v="0"/>
    <s v="Small Pack"/>
    <x v="0"/>
    <d v="2013-08-27T00:00:00"/>
    <n v="5.19"/>
    <n v="12.98"/>
    <n v="7.79"/>
    <n v="45"/>
    <n v="584.1"/>
    <n v="0.02"/>
    <n v="11.682"/>
    <n v="572.41800000000001"/>
    <n v="3.14"/>
    <n v="575.55799999999999"/>
  </r>
  <r>
    <s v="5221-1"/>
    <d v="2013-08-25T00:00:00"/>
    <x v="0"/>
    <x v="112"/>
    <s v="501 George St,Sydney"/>
    <s v="Sydney"/>
    <x v="1"/>
    <x v="0"/>
    <x v="6"/>
    <x v="3"/>
    <x v="38"/>
    <x v="0"/>
    <s v="Small Box"/>
    <x v="0"/>
    <d v="2013-08-26T00:00:00"/>
    <n v="1.18"/>
    <n v="1.88"/>
    <n v="0.7"/>
    <n v="42"/>
    <n v="78.959999999999994"/>
    <n v="0"/>
    <n v="0"/>
    <n v="78.959999999999994"/>
    <n v="1.49"/>
    <n v="80.449999999999989"/>
  </r>
  <r>
    <s v="5222-1"/>
    <d v="2013-08-25T00:00:00"/>
    <x v="0"/>
    <x v="113"/>
    <s v="38/133-145 Castlereagh St,Sydney"/>
    <s v="Sydney"/>
    <x v="1"/>
    <x v="3"/>
    <x v="5"/>
    <x v="4"/>
    <x v="18"/>
    <x v="0"/>
    <s v="Small Box"/>
    <x v="0"/>
    <d v="2013-08-26T00:00:00"/>
    <n v="3.52"/>
    <n v="5.68"/>
    <n v="2.1599999999999997"/>
    <n v="32"/>
    <n v="181.76"/>
    <n v="0.05"/>
    <n v="9.0879999999999992"/>
    <n v="172.672"/>
    <n v="1.39"/>
    <n v="174.06199999999998"/>
  </r>
  <r>
    <s v="5224-1"/>
    <d v="2013-08-28T00:00:00"/>
    <x v="0"/>
    <x v="114"/>
    <s v="523 King St,Newtown"/>
    <s v="Sydney"/>
    <x v="1"/>
    <x v="2"/>
    <x v="9"/>
    <x v="3"/>
    <x v="73"/>
    <x v="0"/>
    <s v="Small Box"/>
    <x v="0"/>
    <d v="2013-08-29T00:00:00"/>
    <n v="1.94"/>
    <n v="3.08"/>
    <n v="1.1400000000000001"/>
    <n v="45"/>
    <n v="138.6"/>
    <n v="0.04"/>
    <n v="5.5439999999999996"/>
    <n v="133.05599999999998"/>
    <n v="0.99"/>
    <n v="134.04599999999999"/>
  </r>
  <r>
    <s v="5225-1"/>
    <d v="2013-08-29T00:00:00"/>
    <x v="0"/>
    <x v="113"/>
    <s v="38/133-145 Castlereagh St,Sydney"/>
    <s v="Sydney"/>
    <x v="1"/>
    <x v="2"/>
    <x v="5"/>
    <x v="3"/>
    <x v="27"/>
    <x v="0"/>
    <s v="Small Box"/>
    <x v="0"/>
    <d v="2013-08-30T00:00:00"/>
    <n v="8.7100000000000009"/>
    <n v="14.28"/>
    <n v="5.5699999999999985"/>
    <n v="8"/>
    <n v="114.24"/>
    <n v="0.01"/>
    <n v="1.1424000000000001"/>
    <n v="113.0976"/>
    <n v="2.99"/>
    <n v="116.08759999999999"/>
  </r>
  <r>
    <s v="5226-1"/>
    <d v="2013-08-29T00:00:00"/>
    <x v="0"/>
    <x v="115"/>
    <s v="523 King St,Newtown"/>
    <s v="Sydney"/>
    <x v="1"/>
    <x v="0"/>
    <x v="9"/>
    <x v="2"/>
    <x v="46"/>
    <x v="1"/>
    <s v="Small Box"/>
    <x v="0"/>
    <d v="2013-09-03T00:00:00"/>
    <n v="60.59"/>
    <n v="100.98"/>
    <n v="40.39"/>
    <n v="12"/>
    <n v="1211.76"/>
    <n v="0.04"/>
    <n v="48.470399999999998"/>
    <n v="1163.2896000000001"/>
    <n v="7.18"/>
    <n v="1170.4696000000001"/>
  </r>
  <r>
    <s v="5227-1"/>
    <d v="2013-08-30T00:00:00"/>
    <x v="0"/>
    <x v="115"/>
    <s v="523 King St,Newtown"/>
    <s v="Sydney"/>
    <x v="1"/>
    <x v="0"/>
    <x v="9"/>
    <x v="4"/>
    <x v="86"/>
    <x v="0"/>
    <s v="Small Box"/>
    <x v="1"/>
    <d v="2013-09-01T00:00:00"/>
    <n v="2.4500000000000002"/>
    <n v="3.89"/>
    <n v="1.44"/>
    <n v="32"/>
    <n v="124.48"/>
    <n v="0.09"/>
    <n v="11.203200000000001"/>
    <n v="113.27680000000001"/>
    <n v="7.01"/>
    <n v="120.28680000000001"/>
  </r>
  <r>
    <s v="5229-1"/>
    <d v="2013-09-01T00:00:00"/>
    <x v="0"/>
    <x v="116"/>
    <s v="15 Aberdeen Street"/>
    <s v="Perth"/>
    <x v="2"/>
    <x v="0"/>
    <x v="13"/>
    <x v="1"/>
    <x v="38"/>
    <x v="0"/>
    <s v="Small Box"/>
    <x v="0"/>
    <d v="2013-09-02T00:00:00"/>
    <n v="1.18"/>
    <n v="1.88"/>
    <n v="0.7"/>
    <n v="43"/>
    <n v="80.839999999999989"/>
    <n v="0.03"/>
    <n v="2.4251999999999998"/>
    <n v="78.414799999999985"/>
    <n v="1.49"/>
    <n v="79.90479999999998"/>
  </r>
  <r>
    <s v="5231-1"/>
    <d v="2013-09-02T00:00:00"/>
    <x v="0"/>
    <x v="117"/>
    <s v="15 Aberdeen Street, Perth"/>
    <s v="Sydney"/>
    <x v="1"/>
    <x v="1"/>
    <x v="4"/>
    <x v="0"/>
    <x v="71"/>
    <x v="0"/>
    <s v="Small Box"/>
    <x v="0"/>
    <d v="2013-09-03T00:00:00"/>
    <n v="4.46"/>
    <n v="10.89"/>
    <n v="6.4300000000000006"/>
    <n v="9"/>
    <n v="98.01"/>
    <n v="0.03"/>
    <n v="2.9403000000000001"/>
    <n v="95.069700000000012"/>
    <n v="4.5"/>
    <n v="99.569700000000012"/>
  </r>
  <r>
    <s v="5232-1"/>
    <d v="2013-09-03T00:00:00"/>
    <x v="0"/>
    <x v="26"/>
    <s v="8 Rankins Lane ,Melbourne"/>
    <s v="Melbourne"/>
    <x v="0"/>
    <x v="1"/>
    <x v="1"/>
    <x v="2"/>
    <x v="78"/>
    <x v="0"/>
    <s v="Small Pack"/>
    <x v="0"/>
    <d v="2013-09-05T00:00:00"/>
    <n v="1.46"/>
    <n v="3.57"/>
    <n v="2.11"/>
    <n v="26"/>
    <n v="92.82"/>
    <n v="0.04"/>
    <n v="3.7127999999999997"/>
    <n v="89.107199999999992"/>
    <n v="4.17"/>
    <n v="93.277199999999993"/>
  </r>
  <r>
    <s v="5234-1"/>
    <d v="2013-09-04T00:00:00"/>
    <x v="0"/>
    <x v="118"/>
    <s v="221 Barkly St,St Kilda"/>
    <s v="Melbourne"/>
    <x v="0"/>
    <x v="3"/>
    <x v="0"/>
    <x v="3"/>
    <x v="87"/>
    <x v="0"/>
    <s v="Wrap Bag"/>
    <x v="1"/>
    <d v="2013-09-06T00:00:00"/>
    <n v="3.32"/>
    <n v="5.18"/>
    <n v="1.8599999999999999"/>
    <n v="37"/>
    <n v="191.66"/>
    <n v="7.0000000000000007E-2"/>
    <n v="13.416200000000002"/>
    <n v="178.24379999999999"/>
    <n v="2.04"/>
    <n v="180.28379999999999"/>
  </r>
  <r>
    <s v="5235-1"/>
    <d v="2013-09-04T00:00:00"/>
    <x v="0"/>
    <x v="119"/>
    <s v="6-8 O'Connell Street,Newtown"/>
    <s v="Sydney"/>
    <x v="1"/>
    <x v="1"/>
    <x v="3"/>
    <x v="2"/>
    <x v="40"/>
    <x v="0"/>
    <s v="Small Box"/>
    <x v="0"/>
    <d v="2013-09-09T00:00:00"/>
    <n v="3.84"/>
    <n v="6.3"/>
    <n v="2.46"/>
    <n v="39"/>
    <n v="245.7"/>
    <n v="0.1"/>
    <n v="24.57"/>
    <n v="221.13"/>
    <n v="0.5"/>
    <n v="221.63"/>
  </r>
  <r>
    <s v="5236-1"/>
    <d v="2013-09-09T00:00:00"/>
    <x v="0"/>
    <x v="120"/>
    <s v="Sydney Fish Market, Bank Street, Sydney"/>
    <s v="Sydney"/>
    <x v="1"/>
    <x v="1"/>
    <x v="4"/>
    <x v="3"/>
    <x v="73"/>
    <x v="0"/>
    <s v="Small Box"/>
    <x v="0"/>
    <d v="2013-09-10T00:00:00"/>
    <n v="1.94"/>
    <n v="3.08"/>
    <n v="1.1400000000000001"/>
    <n v="24"/>
    <n v="73.92"/>
    <n v="0.04"/>
    <n v="2.9568000000000003"/>
    <n v="70.963200000000001"/>
    <n v="0.99"/>
    <n v="71.953199999999995"/>
  </r>
  <r>
    <s v="5238-1"/>
    <d v="2013-09-10T00:00:00"/>
    <x v="0"/>
    <x v="121"/>
    <s v="98 Holdsworth Street,Woollahra"/>
    <s v="Sydney"/>
    <x v="1"/>
    <x v="1"/>
    <x v="5"/>
    <x v="3"/>
    <x v="49"/>
    <x v="0"/>
    <s v="Wrap Bag"/>
    <x v="0"/>
    <d v="2013-09-12T00:00:00"/>
    <n v="1.76"/>
    <n v="3.38"/>
    <n v="1.6199999999999999"/>
    <n v="27"/>
    <n v="91.259999999999991"/>
    <n v="0.08"/>
    <n v="7.3007999999999997"/>
    <n v="83.959199999999996"/>
    <n v="0.85"/>
    <n v="84.80919999999999"/>
  </r>
  <r>
    <s v="5239-1"/>
    <d v="2013-09-12T00:00:00"/>
    <x v="0"/>
    <x v="122"/>
    <s v="Westfield 1 Anderson St,Chatswood"/>
    <s v="Sydney"/>
    <x v="1"/>
    <x v="3"/>
    <x v="3"/>
    <x v="1"/>
    <x v="71"/>
    <x v="0"/>
    <s v="Small Box"/>
    <x v="0"/>
    <d v="2013-09-14T00:00:00"/>
    <n v="4.46"/>
    <n v="10.89"/>
    <n v="6.4300000000000006"/>
    <n v="37"/>
    <n v="402.93"/>
    <n v="0.1"/>
    <n v="40.293000000000006"/>
    <n v="362.637"/>
    <n v="4.5"/>
    <n v="367.137"/>
  </r>
  <r>
    <s v="5240-1"/>
    <d v="2013-09-12T00:00:00"/>
    <x v="0"/>
    <x v="123"/>
    <s v="10 O'Connell St,Sydney"/>
    <s v="Sydney"/>
    <x v="1"/>
    <x v="2"/>
    <x v="9"/>
    <x v="3"/>
    <x v="10"/>
    <x v="0"/>
    <s v="Small Box"/>
    <x v="0"/>
    <d v="2013-09-15T00:00:00"/>
    <n v="4.8899999999999997"/>
    <n v="7.64"/>
    <n v="2.75"/>
    <n v="44"/>
    <n v="336.15999999999997"/>
    <n v="0.01"/>
    <n v="3.3615999999999997"/>
    <n v="332.79839999999996"/>
    <n v="1.39"/>
    <n v="334.18839999999994"/>
  </r>
  <r>
    <s v="5241-1"/>
    <d v="2013-09-12T00:00:00"/>
    <x v="0"/>
    <x v="124"/>
    <s v="359 Crown Street,Surry Hills"/>
    <s v="Sydney"/>
    <x v="1"/>
    <x v="1"/>
    <x v="4"/>
    <x v="4"/>
    <x v="88"/>
    <x v="1"/>
    <s v="Small Box"/>
    <x v="0"/>
    <d v="2013-09-14T00:00:00"/>
    <n v="42.11"/>
    <n v="80.98"/>
    <n v="38.870000000000005"/>
    <n v="34"/>
    <n v="2753.32"/>
    <n v="7.0000000000000007E-2"/>
    <n v="192.73240000000004"/>
    <n v="2560.5876000000003"/>
    <n v="7.18"/>
    <n v="2567.7676000000001"/>
  </r>
  <r>
    <s v="5242-1"/>
    <d v="2013-09-14T00:00:00"/>
    <x v="0"/>
    <x v="125"/>
    <s v="14 Knebworth Avenue"/>
    <s v="Perth"/>
    <x v="2"/>
    <x v="0"/>
    <x v="13"/>
    <x v="2"/>
    <x v="89"/>
    <x v="0"/>
    <s v="Small Pack"/>
    <x v="1"/>
    <d v="2013-09-18T00:00:00"/>
    <n v="2.5"/>
    <n v="5.68"/>
    <n v="3.1799999999999997"/>
    <n v="46"/>
    <n v="261.27999999999997"/>
    <n v="0.1"/>
    <n v="26.128"/>
    <n v="235.15199999999999"/>
    <n v="3.6"/>
    <n v="238.75199999999998"/>
  </r>
  <r>
    <s v="5244-1"/>
    <d v="2013-09-17T00:00:00"/>
    <x v="0"/>
    <x v="126"/>
    <s v="188 Pitt Street,Sydney"/>
    <s v="Sydney"/>
    <x v="1"/>
    <x v="1"/>
    <x v="8"/>
    <x v="0"/>
    <x v="80"/>
    <x v="0"/>
    <s v="Small Box"/>
    <x v="0"/>
    <d v="2013-09-19T00:00:00"/>
    <n v="3.5"/>
    <n v="5.74"/>
    <n v="2.2400000000000002"/>
    <n v="3"/>
    <n v="17.22"/>
    <n v="0.08"/>
    <n v="1.3775999999999999"/>
    <n v="15.8424"/>
    <n v="5.01"/>
    <n v="20.852399999999999"/>
  </r>
  <r>
    <s v="5246-1"/>
    <d v="2013-09-18T00:00:00"/>
    <x v="0"/>
    <x v="127"/>
    <s v="61 York St,Sydney"/>
    <s v="Sydney"/>
    <x v="1"/>
    <x v="0"/>
    <x v="2"/>
    <x v="2"/>
    <x v="31"/>
    <x v="0"/>
    <s v="Small Box"/>
    <x v="1"/>
    <d v="2013-09-25T00:00:00"/>
    <n v="13.88"/>
    <n v="22.38"/>
    <n v="8.4999999999999982"/>
    <n v="16"/>
    <n v="358.08"/>
    <n v="0"/>
    <n v="0"/>
    <n v="358.08"/>
    <n v="15.1"/>
    <n v="373.18"/>
  </r>
  <r>
    <s v="5247-1"/>
    <d v="2013-09-20T00:00:00"/>
    <x v="0"/>
    <x v="128"/>
    <s v="101 Murray Street, Perth"/>
    <s v="Sydney"/>
    <x v="1"/>
    <x v="1"/>
    <x v="12"/>
    <x v="0"/>
    <x v="11"/>
    <x v="0"/>
    <s v="Small Box"/>
    <x v="0"/>
    <d v="2013-09-21T00:00:00"/>
    <n v="36.020000000000003"/>
    <n v="58.1"/>
    <n v="22.08"/>
    <n v="7"/>
    <n v="406.7"/>
    <n v="0.1"/>
    <n v="40.67"/>
    <n v="366.03"/>
    <n v="1.49"/>
    <n v="367.52"/>
  </r>
  <r>
    <s v="5248-1"/>
    <d v="2013-09-22T00:00:00"/>
    <x v="0"/>
    <x v="129"/>
    <s v="53-55 Liverpool St,Sydney"/>
    <s v="Sydney"/>
    <x v="1"/>
    <x v="0"/>
    <x v="8"/>
    <x v="1"/>
    <x v="19"/>
    <x v="0"/>
    <s v="Small Pack"/>
    <x v="0"/>
    <d v="2013-09-24T00:00:00"/>
    <n v="0.94"/>
    <n v="2.08"/>
    <n v="1.1400000000000001"/>
    <n v="43"/>
    <n v="89.44"/>
    <n v="0.05"/>
    <n v="4.4720000000000004"/>
    <n v="84.968000000000004"/>
    <n v="2.56"/>
    <n v="87.528000000000006"/>
  </r>
  <r>
    <s v="5250-1"/>
    <d v="2013-09-23T00:00:00"/>
    <x v="0"/>
    <x v="130"/>
    <s v="7/370-374 Victoria Ave,Chatswood"/>
    <s v="Sydney"/>
    <x v="1"/>
    <x v="2"/>
    <x v="7"/>
    <x v="2"/>
    <x v="34"/>
    <x v="1"/>
    <s v="Medium Box"/>
    <x v="0"/>
    <d v="2013-09-30T00:00:00"/>
    <n v="9.91"/>
    <n v="15.99"/>
    <n v="6.08"/>
    <n v="27"/>
    <n v="431.73"/>
    <n v="0.01"/>
    <n v="4.3173000000000004"/>
    <n v="427.41270000000003"/>
    <n v="11.28"/>
    <n v="438.6927"/>
  </r>
  <r>
    <s v="5251-1"/>
    <d v="2013-09-26T00:00:00"/>
    <x v="0"/>
    <x v="73"/>
    <s v="508/130 Mounts Bay Road, Perth"/>
    <s v="Perth"/>
    <x v="2"/>
    <x v="0"/>
    <x v="8"/>
    <x v="4"/>
    <x v="87"/>
    <x v="0"/>
    <s v="Wrap Bag"/>
    <x v="0"/>
    <d v="2013-09-28T00:00:00"/>
    <n v="3.32"/>
    <n v="5.18"/>
    <n v="1.8599999999999999"/>
    <n v="23"/>
    <n v="119.13999999999999"/>
    <n v="0.05"/>
    <n v="5.9569999999999999"/>
    <n v="113.18299999999999"/>
    <n v="2.04"/>
    <n v="115.223"/>
  </r>
  <r>
    <s v="5253-1"/>
    <d v="2013-09-26T00:00:00"/>
    <x v="0"/>
    <x v="131"/>
    <s v="8 Rankins Lane ,Melbourne"/>
    <s v="Melbourne"/>
    <x v="0"/>
    <x v="0"/>
    <x v="1"/>
    <x v="0"/>
    <x v="90"/>
    <x v="0"/>
    <s v="Small Box"/>
    <x v="0"/>
    <d v="2013-09-28T00:00:00"/>
    <n v="14.95"/>
    <n v="34.76"/>
    <n v="19.809999999999999"/>
    <n v="15"/>
    <n v="521.4"/>
    <n v="0.09"/>
    <n v="46.925999999999995"/>
    <n v="474.47399999999999"/>
    <n v="8.2200000000000006"/>
    <n v="482.69400000000002"/>
  </r>
  <r>
    <s v="5254-1"/>
    <d v="2013-09-27T00:00:00"/>
    <x v="0"/>
    <x v="16"/>
    <s v="402 Argyle St,Moss Vale"/>
    <s v="Sydney"/>
    <x v="1"/>
    <x v="1"/>
    <x v="5"/>
    <x v="2"/>
    <x v="91"/>
    <x v="0"/>
    <s v="Small Box"/>
    <x v="0"/>
    <d v="2013-10-02T00:00:00"/>
    <n v="22.18"/>
    <n v="54.1"/>
    <n v="31.92"/>
    <n v="19"/>
    <n v="1027.9000000000001"/>
    <n v="0.1"/>
    <n v="102.79000000000002"/>
    <n v="925.11000000000013"/>
    <n v="19.989999999999998"/>
    <n v="945.10000000000014"/>
  </r>
  <r>
    <s v="5256-1"/>
    <d v="2013-09-30T00:00:00"/>
    <x v="0"/>
    <x v="132"/>
    <s v="1/160 Anzac Parade,Kensington"/>
    <s v="Sydney"/>
    <x v="1"/>
    <x v="1"/>
    <x v="5"/>
    <x v="3"/>
    <x v="87"/>
    <x v="0"/>
    <s v="Wrap Bag"/>
    <x v="0"/>
    <d v="2013-10-02T00:00:00"/>
    <n v="3.32"/>
    <n v="5.18"/>
    <n v="1.8599999999999999"/>
    <n v="10"/>
    <n v="51.8"/>
    <n v="0.01"/>
    <n v="0.51800000000000002"/>
    <n v="51.281999999999996"/>
    <n v="2.04"/>
    <n v="53.321999999999996"/>
  </r>
  <r>
    <s v="5257-1"/>
    <d v="2013-10-01T00:00:00"/>
    <x v="0"/>
    <x v="133"/>
    <s v="8 Rankins Lane ,Melbourne"/>
    <s v="Melbourne"/>
    <x v="0"/>
    <x v="1"/>
    <x v="1"/>
    <x v="4"/>
    <x v="48"/>
    <x v="1"/>
    <s v="Small Pack"/>
    <x v="1"/>
    <d v="2013-10-02T00:00:00"/>
    <n v="20.18"/>
    <n v="35.409999999999997"/>
    <n v="15.229999999999997"/>
    <n v="16"/>
    <n v="566.55999999999995"/>
    <n v="0"/>
    <n v="0"/>
    <n v="566.55999999999995"/>
    <n v="1.99"/>
    <n v="568.54999999999995"/>
  </r>
  <r>
    <s v="5259-1"/>
    <d v="2013-10-03T00:00:00"/>
    <x v="0"/>
    <x v="91"/>
    <s v="14 Money Street"/>
    <s v="Perth"/>
    <x v="2"/>
    <x v="2"/>
    <x v="4"/>
    <x v="0"/>
    <x v="32"/>
    <x v="0"/>
    <s v="Wrap Bag"/>
    <x v="1"/>
    <d v="2013-10-04T00:00:00"/>
    <n v="21.56"/>
    <n v="36.549999999999997"/>
    <n v="14.989999999999998"/>
    <n v="46"/>
    <n v="1681.3"/>
    <n v="0.05"/>
    <n v="84.064999999999998"/>
    <n v="1597.2349999999999"/>
    <n v="13.89"/>
    <n v="1611.125"/>
  </r>
  <r>
    <s v="5260-1"/>
    <d v="2013-10-04T00:00:00"/>
    <x v="0"/>
    <x v="134"/>
    <s v="5/63-71 Enmore Rd,Newtown"/>
    <s v="Sydney"/>
    <x v="1"/>
    <x v="1"/>
    <x v="10"/>
    <x v="0"/>
    <x v="50"/>
    <x v="0"/>
    <s v="Small Box"/>
    <x v="0"/>
    <d v="2013-10-05T00:00:00"/>
    <n v="178.83"/>
    <n v="415.88"/>
    <n v="237.04999999999998"/>
    <n v="2"/>
    <n v="831.76"/>
    <n v="0.08"/>
    <n v="66.540800000000004"/>
    <n v="765.2192"/>
    <n v="11.37"/>
    <n v="776.58920000000001"/>
  </r>
  <r>
    <s v="5261-1"/>
    <d v="2013-10-05T00:00:00"/>
    <x v="0"/>
    <x v="135"/>
    <s v="Westfield Sydney,Sydney"/>
    <s v="Sydney"/>
    <x v="1"/>
    <x v="2"/>
    <x v="5"/>
    <x v="2"/>
    <x v="92"/>
    <x v="1"/>
    <s v="Small Box"/>
    <x v="0"/>
    <d v="2013-10-12T00:00:00"/>
    <n v="41.28"/>
    <n v="95.99"/>
    <n v="54.709999999999994"/>
    <n v="17"/>
    <n v="1631.83"/>
    <n v="0.09"/>
    <n v="146.8647"/>
    <n v="1484.9652999999998"/>
    <n v="8.99"/>
    <n v="1493.9552999999999"/>
  </r>
  <r>
    <s v="5263-1"/>
    <d v="2013-10-05T00:00:00"/>
    <x v="0"/>
    <x v="60"/>
    <s v="4A Lyons St,Strathfield"/>
    <s v="Sydney"/>
    <x v="1"/>
    <x v="1"/>
    <x v="8"/>
    <x v="4"/>
    <x v="56"/>
    <x v="0"/>
    <s v="Small Box"/>
    <x v="0"/>
    <d v="2013-10-07T00:00:00"/>
    <n v="1.33"/>
    <n v="2.08"/>
    <n v="0.75"/>
    <n v="16"/>
    <n v="33.28"/>
    <n v="0.04"/>
    <n v="1.3312000000000002"/>
    <n v="31.948800000000002"/>
    <n v="1.49"/>
    <n v="33.438800000000001"/>
  </r>
  <r>
    <s v="5265-1"/>
    <d v="2013-10-06T00:00:00"/>
    <x v="0"/>
    <x v="45"/>
    <s v="2/797 Botany Rd,Rosebery"/>
    <s v="Sydney"/>
    <x v="1"/>
    <x v="1"/>
    <x v="6"/>
    <x v="4"/>
    <x v="30"/>
    <x v="1"/>
    <s v="Medium Box"/>
    <x v="0"/>
    <d v="2013-10-07T00:00:00"/>
    <n v="8.82"/>
    <n v="20.99"/>
    <n v="12.169999999999998"/>
    <n v="25"/>
    <n v="524.75"/>
    <n v="0.05"/>
    <n v="26.237500000000001"/>
    <n v="498.51249999999999"/>
    <n v="4.8099999999999996"/>
    <n v="503.32249999999999"/>
  </r>
  <r>
    <s v="5267-1"/>
    <d v="2013-10-09T00:00:00"/>
    <x v="0"/>
    <x v="136"/>
    <s v="24 Addison Rd,Marrickville"/>
    <s v="Sydney"/>
    <x v="1"/>
    <x v="1"/>
    <x v="13"/>
    <x v="4"/>
    <x v="76"/>
    <x v="0"/>
    <s v="Wrap Bag"/>
    <x v="0"/>
    <d v="2013-10-11T00:00:00"/>
    <n v="1.53"/>
    <n v="2.78"/>
    <n v="1.2499999999999998"/>
    <n v="6"/>
    <n v="16.68"/>
    <n v="0.01"/>
    <n v="0.1668"/>
    <n v="16.513200000000001"/>
    <n v="1.34"/>
    <n v="17.853200000000001"/>
  </r>
  <r>
    <s v="5268-1"/>
    <d v="2013-10-11T00:00:00"/>
    <x v="0"/>
    <x v="137"/>
    <s v="541 Church St ,Richmond"/>
    <s v="Melbourne"/>
    <x v="0"/>
    <x v="2"/>
    <x v="0"/>
    <x v="3"/>
    <x v="86"/>
    <x v="0"/>
    <s v="Small Box"/>
    <x v="0"/>
    <d v="2013-10-13T00:00:00"/>
    <n v="2.4500000000000002"/>
    <n v="3.89"/>
    <n v="1.44"/>
    <n v="2"/>
    <n v="7.78"/>
    <n v="7.0000000000000007E-2"/>
    <n v="0.54460000000000008"/>
    <n v="7.2354000000000003"/>
    <n v="7.01"/>
    <n v="14.2454"/>
  </r>
  <r>
    <s v="5268-2"/>
    <d v="2013-10-11T00:00:00"/>
    <x v="0"/>
    <x v="137"/>
    <s v="541 Church St ,Richmond"/>
    <s v="Melbourne"/>
    <x v="0"/>
    <x v="2"/>
    <x v="0"/>
    <x v="3"/>
    <x v="82"/>
    <x v="0"/>
    <s v="Small Box"/>
    <x v="0"/>
    <d v="2013-10-12T00:00:00"/>
    <n v="67.73"/>
    <n v="165.2"/>
    <n v="97.469999999999985"/>
    <n v="6"/>
    <n v="991.19999999999993"/>
    <n v="0.09"/>
    <n v="89.207999999999984"/>
    <n v="901.99199999999996"/>
    <n v="19.989999999999998"/>
    <n v="921.98199999999997"/>
  </r>
  <r>
    <s v="5272-1"/>
    <d v="2013-10-11T00:00:00"/>
    <x v="0"/>
    <x v="138"/>
    <s v="15 Aberdeen Street, Perth"/>
    <s v="Sydney"/>
    <x v="1"/>
    <x v="3"/>
    <x v="9"/>
    <x v="1"/>
    <x v="7"/>
    <x v="0"/>
    <s v="Wrap Bag"/>
    <x v="0"/>
    <d v="2013-10-12T00:00:00"/>
    <n v="1.0900000000000001"/>
    <n v="1.68"/>
    <n v="0.58999999999999986"/>
    <n v="38"/>
    <n v="63.839999999999996"/>
    <n v="7.0000000000000007E-2"/>
    <n v="4.4687999999999999"/>
    <n v="59.371199999999995"/>
    <n v="1"/>
    <n v="60.371199999999995"/>
  </r>
  <r>
    <s v="5274-1"/>
    <d v="2013-10-13T00:00:00"/>
    <x v="0"/>
    <x v="139"/>
    <s v="101 Murray Street"/>
    <s v="Perth"/>
    <x v="2"/>
    <x v="1"/>
    <x v="8"/>
    <x v="1"/>
    <x v="93"/>
    <x v="1"/>
    <s v="Small Box"/>
    <x v="0"/>
    <d v="2013-10-14T00:00:00"/>
    <n v="62.4"/>
    <n v="155.99"/>
    <n v="93.59"/>
    <n v="48"/>
    <n v="7487.52"/>
    <n v="0.04"/>
    <n v="299.50080000000003"/>
    <n v="7188.0192000000006"/>
    <n v="8.08"/>
    <n v="7196.0992000000006"/>
  </r>
  <r>
    <s v="5274-2"/>
    <d v="2013-10-13T00:00:00"/>
    <x v="0"/>
    <x v="139"/>
    <s v="101 Murray Street"/>
    <s v="Perth"/>
    <x v="2"/>
    <x v="1"/>
    <x v="8"/>
    <x v="1"/>
    <x v="54"/>
    <x v="0"/>
    <s v="Small Box"/>
    <x v="0"/>
    <d v="2013-10-13T00:00:00"/>
    <n v="3.4"/>
    <n v="5.4"/>
    <n v="2.0000000000000004"/>
    <n v="8"/>
    <n v="43.2"/>
    <n v="0.08"/>
    <n v="3.4560000000000004"/>
    <n v="39.744"/>
    <n v="7.78"/>
    <n v="47.524000000000001"/>
  </r>
  <r>
    <s v="5277-1"/>
    <d v="2013-10-20T00:00:00"/>
    <x v="0"/>
    <x v="140"/>
    <s v="60 Commercial Rd,Prahran"/>
    <s v="Melbourne"/>
    <x v="0"/>
    <x v="1"/>
    <x v="0"/>
    <x v="1"/>
    <x v="5"/>
    <x v="0"/>
    <s v="Wrap Bag"/>
    <x v="0"/>
    <d v="2013-10-22T00:00:00"/>
    <n v="1.0900000000000001"/>
    <n v="2.6"/>
    <n v="1.51"/>
    <n v="36"/>
    <n v="93.600000000000009"/>
    <n v="0"/>
    <n v="0"/>
    <n v="93.600000000000009"/>
    <n v="2.4"/>
    <n v="96.000000000000014"/>
  </r>
  <r>
    <s v="5278-1"/>
    <d v="2013-10-20T00:00:00"/>
    <x v="0"/>
    <x v="141"/>
    <s v="1/173-179 Bronte Rd,Waverley"/>
    <s v="Sydney"/>
    <x v="1"/>
    <x v="1"/>
    <x v="2"/>
    <x v="1"/>
    <x v="22"/>
    <x v="0"/>
    <s v="Small Box"/>
    <x v="1"/>
    <d v="2013-10-20T00:00:00"/>
    <n v="1.59"/>
    <n v="2.61"/>
    <n v="1.0199999999999998"/>
    <n v="1"/>
    <n v="2.61"/>
    <n v="0.06"/>
    <n v="0.15659999999999999"/>
    <n v="2.4533999999999998"/>
    <n v="0.5"/>
    <n v="2.9533999999999998"/>
  </r>
  <r>
    <s v="5279-1"/>
    <d v="2013-10-20T00:00:00"/>
    <x v="0"/>
    <x v="142"/>
    <s v="Sydney Fish Market, Bank Street, Sydney"/>
    <s v="Sydney"/>
    <x v="1"/>
    <x v="1"/>
    <x v="4"/>
    <x v="4"/>
    <x v="70"/>
    <x v="0"/>
    <s v="Small Box"/>
    <x v="0"/>
    <d v="2013-10-21T00:00:00"/>
    <n v="3.65"/>
    <n v="5.98"/>
    <n v="2.3300000000000005"/>
    <n v="21"/>
    <n v="125.58000000000001"/>
    <n v="0.02"/>
    <n v="2.5116000000000005"/>
    <n v="123.06840000000001"/>
    <n v="1.49"/>
    <n v="124.55840000000001"/>
  </r>
  <r>
    <s v="5280-1"/>
    <d v="2013-10-21T00:00:00"/>
    <x v="0"/>
    <x v="143"/>
    <s v="Sydney Fish Market, Bank Street, Sydney"/>
    <s v="Sydney"/>
    <x v="1"/>
    <x v="2"/>
    <x v="4"/>
    <x v="3"/>
    <x v="70"/>
    <x v="0"/>
    <s v="Small Box"/>
    <x v="0"/>
    <d v="2013-10-23T00:00:00"/>
    <n v="3.65"/>
    <n v="5.98"/>
    <n v="2.3300000000000005"/>
    <n v="40"/>
    <n v="239.20000000000002"/>
    <n v="0"/>
    <n v="0"/>
    <n v="239.20000000000002"/>
    <n v="1.49"/>
    <n v="240.69000000000003"/>
  </r>
  <r>
    <s v="5282-1"/>
    <d v="2013-10-21T00:00:00"/>
    <x v="0"/>
    <x v="138"/>
    <s v="101/12 Victoria Ave, Perth"/>
    <s v="Sydney"/>
    <x v="1"/>
    <x v="3"/>
    <x v="9"/>
    <x v="3"/>
    <x v="38"/>
    <x v="0"/>
    <s v="Small Box"/>
    <x v="0"/>
    <d v="2013-10-23T00:00:00"/>
    <n v="1.18"/>
    <n v="1.88"/>
    <n v="0.7"/>
    <n v="33"/>
    <n v="62.04"/>
    <n v="7.0000000000000007E-2"/>
    <n v="4.3428000000000004"/>
    <n v="57.697199999999995"/>
    <n v="1.49"/>
    <n v="59.187199999999997"/>
  </r>
  <r>
    <s v="5284-1"/>
    <d v="2013-10-24T00:00:00"/>
    <x v="0"/>
    <x v="144"/>
    <s v="22 Civic Rd,Auburn"/>
    <s v="Sydney"/>
    <x v="1"/>
    <x v="3"/>
    <x v="11"/>
    <x v="0"/>
    <x v="94"/>
    <x v="0"/>
    <s v="Small Box"/>
    <x v="0"/>
    <d v="2013-10-27T00:00:00"/>
    <n v="4.53"/>
    <n v="7.3"/>
    <n v="2.7699999999999996"/>
    <n v="31"/>
    <n v="226.29999999999998"/>
    <n v="0.03"/>
    <n v="6.7889999999999988"/>
    <n v="219.511"/>
    <n v="7.72"/>
    <n v="227.23099999999999"/>
  </r>
  <r>
    <s v="5286-1"/>
    <d v="2013-10-25T00:00:00"/>
    <x v="0"/>
    <x v="145"/>
    <s v="1/173-179 Bronte Rd,Waverley"/>
    <s v="Sydney"/>
    <x v="1"/>
    <x v="3"/>
    <x v="2"/>
    <x v="0"/>
    <x v="95"/>
    <x v="0"/>
    <s v="Small Box"/>
    <x v="0"/>
    <d v="2013-10-27T00:00:00"/>
    <n v="11.04"/>
    <n v="16.98"/>
    <n v="5.9400000000000013"/>
    <n v="27"/>
    <n v="458.46000000000004"/>
    <n v="0.1"/>
    <n v="45.846000000000004"/>
    <n v="412.61400000000003"/>
    <n v="12.39"/>
    <n v="425.00400000000002"/>
  </r>
  <r>
    <s v="5288-1"/>
    <d v="2013-10-26T00:00:00"/>
    <x v="0"/>
    <x v="146"/>
    <s v="3/219 Canley Vale Road,Canley Heights"/>
    <s v="Sydney"/>
    <x v="1"/>
    <x v="2"/>
    <x v="11"/>
    <x v="3"/>
    <x v="54"/>
    <x v="0"/>
    <s v="Small Box"/>
    <x v="0"/>
    <d v="2013-10-28T00:00:00"/>
    <n v="3.4"/>
    <n v="5.4"/>
    <n v="2.0000000000000004"/>
    <n v="47"/>
    <n v="253.8"/>
    <n v="0.03"/>
    <n v="7.6139999999999999"/>
    <n v="246.18600000000001"/>
    <n v="7.78"/>
    <n v="253.96600000000001"/>
  </r>
  <r>
    <s v="5290-1"/>
    <d v="2013-10-28T00:00:00"/>
    <x v="0"/>
    <x v="147"/>
    <s v="Crown Complex,Southbank"/>
    <s v="Melbourne"/>
    <x v="0"/>
    <x v="1"/>
    <x v="1"/>
    <x v="0"/>
    <x v="29"/>
    <x v="1"/>
    <s v="Small Pack"/>
    <x v="0"/>
    <d v="2013-10-29T00:00:00"/>
    <n v="1.87"/>
    <n v="8.1199999999999992"/>
    <n v="6.2499999999999991"/>
    <n v="37"/>
    <n v="300.44"/>
    <n v="0"/>
    <n v="0"/>
    <n v="300.44"/>
    <n v="2.83"/>
    <n v="303.27"/>
  </r>
  <r>
    <s v="5291-1"/>
    <d v="2013-10-28T00:00:00"/>
    <x v="0"/>
    <x v="10"/>
    <s v="120 Hardware St,Melbourne"/>
    <s v="Melbourne"/>
    <x v="0"/>
    <x v="1"/>
    <x v="1"/>
    <x v="0"/>
    <x v="96"/>
    <x v="0"/>
    <s v="Small Pack"/>
    <x v="1"/>
    <d v="2013-10-29T00:00:00"/>
    <n v="16.8"/>
    <n v="40.97"/>
    <n v="24.169999999999998"/>
    <n v="11"/>
    <n v="450.66999999999996"/>
    <n v="0.03"/>
    <n v="13.520099999999998"/>
    <n v="437.14989999999995"/>
    <n v="8.99"/>
    <n v="446.13989999999995"/>
  </r>
  <r>
    <s v="5292-1"/>
    <d v="2013-10-29T00:00:00"/>
    <x v="0"/>
    <x v="148"/>
    <s v="127 Liverpool St,Sydney"/>
    <s v="Sydney"/>
    <x v="1"/>
    <x v="0"/>
    <x v="6"/>
    <x v="1"/>
    <x v="73"/>
    <x v="0"/>
    <s v="Small Box"/>
    <x v="0"/>
    <d v="2013-10-30T00:00:00"/>
    <n v="1.94"/>
    <n v="3.08"/>
    <n v="1.1400000000000001"/>
    <n v="41"/>
    <n v="126.28"/>
    <n v="0.04"/>
    <n v="5.0512000000000006"/>
    <n v="121.22880000000001"/>
    <n v="0.99"/>
    <n v="122.2188"/>
  </r>
  <r>
    <s v="5294-1"/>
    <d v="2013-11-01T00:00:00"/>
    <x v="0"/>
    <x v="149"/>
    <s v="22 Civic Rd,Auburn"/>
    <s v="Sydney"/>
    <x v="1"/>
    <x v="2"/>
    <x v="11"/>
    <x v="1"/>
    <x v="29"/>
    <x v="1"/>
    <s v="Small Pack"/>
    <x v="0"/>
    <d v="2013-11-02T00:00:00"/>
    <n v="1.87"/>
    <n v="8.1199999999999992"/>
    <n v="6.2499999999999991"/>
    <n v="16"/>
    <n v="129.91999999999999"/>
    <n v="0.03"/>
    <n v="3.8975999999999993"/>
    <n v="126.02239999999999"/>
    <n v="2.83"/>
    <n v="128.85239999999999"/>
  </r>
  <r>
    <s v="5296-1"/>
    <d v="2013-11-02T00:00:00"/>
    <x v="0"/>
    <x v="75"/>
    <s v="120 Hardware St,Melbourne"/>
    <s v="Melbourne"/>
    <x v="0"/>
    <x v="0"/>
    <x v="0"/>
    <x v="4"/>
    <x v="94"/>
    <x v="0"/>
    <s v="Small Box"/>
    <x v="0"/>
    <d v="2013-11-03T00:00:00"/>
    <n v="4.53"/>
    <n v="7.3"/>
    <n v="2.7699999999999996"/>
    <n v="45"/>
    <n v="328.5"/>
    <n v="0.04"/>
    <n v="13.14"/>
    <n v="315.36"/>
    <n v="7.72"/>
    <n v="323.08000000000004"/>
  </r>
  <r>
    <s v="5298-1"/>
    <d v="2013-11-03T00:00:00"/>
    <x v="0"/>
    <x v="150"/>
    <s v="163 Concord Road,North Strathfield"/>
    <s v="Sydney"/>
    <x v="1"/>
    <x v="1"/>
    <x v="10"/>
    <x v="1"/>
    <x v="85"/>
    <x v="0"/>
    <s v="Small Pack"/>
    <x v="0"/>
    <d v="2013-11-03T00:00:00"/>
    <n v="5.19"/>
    <n v="12.98"/>
    <n v="7.79"/>
    <n v="40"/>
    <n v="519.20000000000005"/>
    <n v="0.05"/>
    <n v="25.960000000000004"/>
    <n v="493.24000000000007"/>
    <n v="3.14"/>
    <n v="496.38000000000005"/>
  </r>
  <r>
    <s v="5299-1"/>
    <d v="2013-11-05T00:00:00"/>
    <x v="0"/>
    <x v="151"/>
    <s v="8/2 Edward Street"/>
    <s v="Perth"/>
    <x v="2"/>
    <x v="1"/>
    <x v="5"/>
    <x v="3"/>
    <x v="97"/>
    <x v="0"/>
    <s v="Small Box"/>
    <x v="0"/>
    <d v="2013-11-07T00:00:00"/>
    <n v="2.29"/>
    <n v="3.69"/>
    <n v="1.4"/>
    <n v="42"/>
    <n v="154.97999999999999"/>
    <n v="0.04"/>
    <n v="6.1991999999999994"/>
    <n v="148.7808"/>
    <n v="0.5"/>
    <n v="149.2808"/>
  </r>
  <r>
    <s v="5300-1"/>
    <d v="2013-11-05T00:00:00"/>
    <x v="0"/>
    <x v="152"/>
    <s v="797 Botany Rd,Rosebery"/>
    <s v="Sydney"/>
    <x v="1"/>
    <x v="1"/>
    <x v="4"/>
    <x v="1"/>
    <x v="98"/>
    <x v="0"/>
    <s v="Wrap Bag"/>
    <x v="0"/>
    <d v="2013-11-06T00:00:00"/>
    <n v="5.22"/>
    <n v="9.85"/>
    <n v="4.63"/>
    <n v="27"/>
    <n v="265.95"/>
    <n v="0.1"/>
    <n v="26.594999999999999"/>
    <n v="239.35499999999999"/>
    <n v="4.82"/>
    <n v="244.17499999999998"/>
  </r>
  <r>
    <s v="5302-1"/>
    <d v="2013-11-07T00:00:00"/>
    <x v="0"/>
    <x v="153"/>
    <s v="33/4 Barangaroo Avenue,Sydney"/>
    <s v="Sydney"/>
    <x v="1"/>
    <x v="3"/>
    <x v="5"/>
    <x v="4"/>
    <x v="35"/>
    <x v="0"/>
    <s v="Wrap Bag"/>
    <x v="1"/>
    <d v="2013-11-08T00:00:00"/>
    <n v="3.75"/>
    <n v="7.08"/>
    <n v="3.33"/>
    <n v="29"/>
    <n v="205.32"/>
    <n v="7.0000000000000007E-2"/>
    <n v="14.372400000000001"/>
    <n v="190.94759999999999"/>
    <n v="2.35"/>
    <n v="193.29759999999999"/>
  </r>
  <r>
    <s v="5303-1"/>
    <d v="2013-11-09T00:00:00"/>
    <x v="0"/>
    <x v="154"/>
    <s v="8 Rankins Lane ,Melbourne"/>
    <s v="Melbourne"/>
    <x v="0"/>
    <x v="3"/>
    <x v="1"/>
    <x v="2"/>
    <x v="87"/>
    <x v="0"/>
    <s v="Wrap Bag"/>
    <x v="0"/>
    <d v="2013-11-09T00:00:00"/>
    <n v="3.32"/>
    <n v="5.18"/>
    <n v="1.8599999999999999"/>
    <n v="8"/>
    <n v="41.44"/>
    <n v="0.06"/>
    <n v="2.4863999999999997"/>
    <n v="38.953599999999994"/>
    <n v="2.04"/>
    <n v="40.993599999999994"/>
  </r>
  <r>
    <s v="5304-1"/>
    <d v="2013-11-12T00:00:00"/>
    <x v="0"/>
    <x v="155"/>
    <s v="3 Carrington Road ,Box Hill"/>
    <s v="Melbourne"/>
    <x v="0"/>
    <x v="1"/>
    <x v="0"/>
    <x v="4"/>
    <x v="99"/>
    <x v="0"/>
    <s v="Small Box"/>
    <x v="0"/>
    <d v="2013-11-14T00:00:00"/>
    <n v="3.37"/>
    <n v="5.53"/>
    <n v="2.16"/>
    <n v="17"/>
    <n v="94.01"/>
    <n v="0.02"/>
    <n v="1.8802000000000001"/>
    <n v="92.129800000000003"/>
    <n v="6.98"/>
    <n v="99.109800000000007"/>
  </r>
  <r>
    <s v="5305-1"/>
    <d v="2013-11-15T00:00:00"/>
    <x v="0"/>
    <x v="120"/>
    <s v="Sydney Fish Market, Bank Street, Sydney"/>
    <s v="Sydney"/>
    <x v="1"/>
    <x v="2"/>
    <x v="4"/>
    <x v="3"/>
    <x v="44"/>
    <x v="0"/>
    <s v="Small Box"/>
    <x v="0"/>
    <d v="2013-11-17T00:00:00"/>
    <n v="12.39"/>
    <n v="19.98"/>
    <n v="7.59"/>
    <n v="47"/>
    <n v="939.06000000000006"/>
    <n v="0.04"/>
    <n v="37.562400000000004"/>
    <n v="901.49760000000003"/>
    <n v="5.77"/>
    <n v="907.26760000000002"/>
  </r>
  <r>
    <s v="5307-1"/>
    <d v="2013-11-16T00:00:00"/>
    <x v="0"/>
    <x v="30"/>
    <s v="273 George Street,Sydney"/>
    <s v="Sydney"/>
    <x v="1"/>
    <x v="2"/>
    <x v="2"/>
    <x v="3"/>
    <x v="36"/>
    <x v="2"/>
    <s v="Small Pack"/>
    <x v="0"/>
    <d v="2013-11-16T00:00:00"/>
    <n v="5.5"/>
    <n v="12.22"/>
    <n v="6.7200000000000006"/>
    <n v="27"/>
    <n v="329.94"/>
    <n v="7.0000000000000007E-2"/>
    <n v="23.095800000000001"/>
    <n v="306.8442"/>
    <n v="2.85"/>
    <n v="309.69420000000002"/>
  </r>
  <r>
    <s v="5309-1"/>
    <d v="2013-11-16T00:00:00"/>
    <x v="0"/>
    <x v="156"/>
    <s v="Westfield Miranda, 600 Kingsway,Miranda"/>
    <s v="Sydney"/>
    <x v="1"/>
    <x v="1"/>
    <x v="12"/>
    <x v="1"/>
    <x v="100"/>
    <x v="0"/>
    <s v="Wrap Bag"/>
    <x v="0"/>
    <d v="2013-11-17T00:00:00"/>
    <n v="1.76"/>
    <n v="2.94"/>
    <n v="1.18"/>
    <n v="23"/>
    <n v="67.62"/>
    <n v="7.0000000000000007E-2"/>
    <n v="4.7334000000000005"/>
    <n v="62.886600000000001"/>
    <n v="0.81"/>
    <n v="63.696600000000004"/>
  </r>
  <r>
    <s v="5310-1"/>
    <d v="2013-11-17T00:00:00"/>
    <x v="0"/>
    <x v="157"/>
    <s v="61 York St,Sydney"/>
    <s v="Sydney"/>
    <x v="1"/>
    <x v="2"/>
    <x v="2"/>
    <x v="1"/>
    <x v="24"/>
    <x v="1"/>
    <s v="Small Box"/>
    <x v="1"/>
    <d v="2013-11-19T00:00:00"/>
    <n v="39.64"/>
    <n v="152.47999999999999"/>
    <n v="112.83999999999999"/>
    <n v="2"/>
    <n v="304.95999999999998"/>
    <n v="0.02"/>
    <n v="6.0991999999999997"/>
    <n v="298.86079999999998"/>
    <n v="6.5"/>
    <n v="305.36079999999998"/>
  </r>
  <r>
    <s v="5311-1"/>
    <d v="2013-11-17T00:00:00"/>
    <x v="0"/>
    <x v="158"/>
    <s v="101/12 Victoria Ave, Perth"/>
    <s v="Melbourne"/>
    <x v="0"/>
    <x v="0"/>
    <x v="1"/>
    <x v="1"/>
    <x v="101"/>
    <x v="0"/>
    <s v="Small Pack"/>
    <x v="0"/>
    <d v="2013-11-18T00:00:00"/>
    <n v="3.51"/>
    <n v="8.57"/>
    <n v="5.0600000000000005"/>
    <n v="24"/>
    <n v="205.68"/>
    <n v="0.06"/>
    <n v="12.3408"/>
    <n v="193.33920000000001"/>
    <n v="6.14"/>
    <n v="199.47919999999999"/>
  </r>
  <r>
    <s v="5312-1"/>
    <d v="2013-11-17T00:00:00"/>
    <x v="0"/>
    <x v="159"/>
    <s v="Crown Complex,Southbank"/>
    <s v="Melbourne"/>
    <x v="0"/>
    <x v="1"/>
    <x v="1"/>
    <x v="0"/>
    <x v="86"/>
    <x v="0"/>
    <s v="Small Box"/>
    <x v="0"/>
    <d v="2013-11-17T00:00:00"/>
    <n v="2.4500000000000002"/>
    <n v="3.89"/>
    <n v="1.44"/>
    <n v="47"/>
    <n v="182.83"/>
    <n v="0"/>
    <n v="0"/>
    <n v="182.83"/>
    <n v="7.01"/>
    <n v="189.84"/>
  </r>
  <r>
    <s v="5313-1"/>
    <d v="2013-11-18T00:00:00"/>
    <x v="0"/>
    <x v="160"/>
    <s v="Macquarie Centre Cnr Herring Road &amp; Waterloo Road,Macquarie Park"/>
    <s v="Sydney"/>
    <x v="1"/>
    <x v="3"/>
    <x v="3"/>
    <x v="2"/>
    <x v="53"/>
    <x v="0"/>
    <s v="Wrap Bag"/>
    <x v="0"/>
    <d v="2013-11-20T00:00:00"/>
    <n v="1.6"/>
    <n v="2.62"/>
    <n v="1.02"/>
    <n v="26"/>
    <n v="68.12"/>
    <n v="0.09"/>
    <n v="6.1307999999999998"/>
    <n v="61.989200000000004"/>
    <n v="0.8"/>
    <n v="62.789200000000001"/>
  </r>
  <r>
    <s v="5314-1"/>
    <d v="2013-11-18T00:00:00"/>
    <x v="0"/>
    <x v="161"/>
    <s v="18 Robinson Avenue"/>
    <s v="Perth"/>
    <x v="2"/>
    <x v="1"/>
    <x v="11"/>
    <x v="0"/>
    <x v="60"/>
    <x v="0"/>
    <s v="Small Box"/>
    <x v="0"/>
    <d v="2013-11-20T00:00:00"/>
    <n v="21.56"/>
    <n v="35.94"/>
    <n v="14.379999999999999"/>
    <n v="19"/>
    <n v="682.8599999999999"/>
    <n v="0.09"/>
    <n v="61.457399999999986"/>
    <n v="621.40259999999989"/>
    <n v="6.66"/>
    <n v="628.06259999999986"/>
  </r>
  <r>
    <s v="5315-1"/>
    <d v="2013-11-19T00:00:00"/>
    <x v="0"/>
    <x v="97"/>
    <s v="1-2/299 Sussex St,Sydney"/>
    <s v="Sydney"/>
    <x v="1"/>
    <x v="1"/>
    <x v="9"/>
    <x v="4"/>
    <x v="14"/>
    <x v="0"/>
    <s v="Small Box"/>
    <x v="0"/>
    <d v="2013-11-21T00:00:00"/>
    <n v="4.59"/>
    <n v="7.28"/>
    <n v="2.6900000000000004"/>
    <n v="3"/>
    <n v="21.84"/>
    <n v="0.01"/>
    <n v="0.21840000000000001"/>
    <n v="21.621600000000001"/>
    <n v="11.15"/>
    <n v="32.771599999999999"/>
  </r>
  <r>
    <s v="5316-1"/>
    <d v="2013-11-20T00:00:00"/>
    <x v="0"/>
    <x v="141"/>
    <s v="1/173-179 Bronte Rd,Waverley"/>
    <s v="Sydney"/>
    <x v="1"/>
    <x v="2"/>
    <x v="2"/>
    <x v="2"/>
    <x v="74"/>
    <x v="1"/>
    <s v="Jumbo Drum"/>
    <x v="2"/>
    <d v="2013-11-27T00:00:00"/>
    <n v="76.790000000000006"/>
    <n v="119.99"/>
    <n v="43.199999999999989"/>
    <n v="4"/>
    <n v="479.96"/>
    <n v="0.06"/>
    <n v="28.797599999999999"/>
    <n v="451.16239999999999"/>
    <n v="14"/>
    <n v="465.16239999999999"/>
  </r>
  <r>
    <s v="5318-1"/>
    <d v="2013-11-20T00:00:00"/>
    <x v="0"/>
    <x v="147"/>
    <s v="Crown Complex,Southbank"/>
    <s v="Melbourne"/>
    <x v="0"/>
    <x v="1"/>
    <x v="1"/>
    <x v="3"/>
    <x v="28"/>
    <x v="0"/>
    <s v="Wrap Bag"/>
    <x v="0"/>
    <d v="2013-11-21T00:00:00"/>
    <n v="3.47"/>
    <n v="6.68"/>
    <n v="3.2099999999999995"/>
    <n v="15"/>
    <n v="100.19999999999999"/>
    <n v="0.03"/>
    <n v="3.0059999999999993"/>
    <n v="97.193999999999988"/>
    <n v="1.5"/>
    <n v="98.693999999999988"/>
  </r>
  <r>
    <s v="5319-1"/>
    <d v="2013-11-23T00:00:00"/>
    <x v="0"/>
    <x v="162"/>
    <s v="Qantas Domestic Terminal,Mascot"/>
    <s v="Sydney"/>
    <x v="1"/>
    <x v="2"/>
    <x v="4"/>
    <x v="3"/>
    <x v="102"/>
    <x v="2"/>
    <s v="Small Pack"/>
    <x v="0"/>
    <d v="2013-11-24T00:00:00"/>
    <n v="11.38"/>
    <n v="18.649999999999999"/>
    <n v="7.2699999999999978"/>
    <n v="19"/>
    <n v="354.34999999999997"/>
    <n v="7.0000000000000007E-2"/>
    <n v="24.804500000000001"/>
    <n v="329.54549999999995"/>
    <n v="3.77"/>
    <n v="333.31549999999993"/>
  </r>
  <r>
    <s v="5321-1"/>
    <d v="2013-11-23T00:00:00"/>
    <x v="0"/>
    <x v="163"/>
    <s v="Sydney Fish Market, Bank Street, Sydney"/>
    <s v="Sydney"/>
    <x v="1"/>
    <x v="1"/>
    <x v="4"/>
    <x v="4"/>
    <x v="80"/>
    <x v="0"/>
    <s v="Small Box"/>
    <x v="1"/>
    <d v="2013-11-25T00:00:00"/>
    <n v="3.5"/>
    <n v="5.74"/>
    <n v="2.2400000000000002"/>
    <n v="27"/>
    <n v="154.98000000000002"/>
    <n v="0.08"/>
    <n v="12.398400000000002"/>
    <n v="142.58160000000001"/>
    <n v="5.01"/>
    <n v="147.5916"/>
  </r>
  <r>
    <s v="5323-1"/>
    <d v="2013-11-27T00:00:00"/>
    <x v="0"/>
    <x v="164"/>
    <s v="541 Church St,Richmond"/>
    <s v="Melbourne"/>
    <x v="0"/>
    <x v="2"/>
    <x v="0"/>
    <x v="1"/>
    <x v="17"/>
    <x v="1"/>
    <s v="Small Box"/>
    <x v="0"/>
    <d v="2013-11-29T00:00:00"/>
    <n v="81.59"/>
    <n v="159.99"/>
    <n v="78.400000000000006"/>
    <n v="50"/>
    <n v="7999.5"/>
    <n v="0.05"/>
    <n v="399.97500000000002"/>
    <n v="7599.5249999999996"/>
    <n v="5.5"/>
    <n v="7605.0249999999996"/>
  </r>
  <r>
    <s v="5324-1"/>
    <d v="2013-11-29T00:00:00"/>
    <x v="0"/>
    <x v="165"/>
    <s v="273 George Street,Sydney"/>
    <s v="Sydney"/>
    <x v="1"/>
    <x v="1"/>
    <x v="2"/>
    <x v="0"/>
    <x v="74"/>
    <x v="1"/>
    <s v="Jumbo Drum"/>
    <x v="2"/>
    <d v="2013-12-01T00:00:00"/>
    <n v="76.790000000000006"/>
    <n v="119.99"/>
    <n v="43.199999999999989"/>
    <n v="8"/>
    <n v="959.92"/>
    <n v="0.09"/>
    <n v="86.392799999999994"/>
    <n v="873.52719999999999"/>
    <n v="14"/>
    <n v="887.52719999999999"/>
  </r>
  <r>
    <s v="5326-1"/>
    <d v="2013-12-05T00:00:00"/>
    <x v="0"/>
    <x v="166"/>
    <s v="180 High Street,Windsor"/>
    <s v="Melbourne"/>
    <x v="0"/>
    <x v="3"/>
    <x v="1"/>
    <x v="3"/>
    <x v="96"/>
    <x v="0"/>
    <s v="Small Pack"/>
    <x v="1"/>
    <d v="2013-12-07T00:00:00"/>
    <n v="16.8"/>
    <n v="40.97"/>
    <n v="24.169999999999998"/>
    <n v="49"/>
    <n v="2007.53"/>
    <n v="0.09"/>
    <n v="180.67769999999999"/>
    <n v="1826.8523"/>
    <n v="8.99"/>
    <n v="1835.8423"/>
  </r>
  <r>
    <s v="5328-1"/>
    <d v="2013-12-08T00:00:00"/>
    <x v="0"/>
    <x v="167"/>
    <s v="60 York St,Sydney"/>
    <s v="Sydney"/>
    <x v="1"/>
    <x v="0"/>
    <x v="10"/>
    <x v="2"/>
    <x v="53"/>
    <x v="0"/>
    <s v="Wrap Bag"/>
    <x v="0"/>
    <d v="2013-12-15T00:00:00"/>
    <n v="1.6"/>
    <n v="2.62"/>
    <n v="1.02"/>
    <n v="47"/>
    <n v="123.14"/>
    <n v="0.1"/>
    <n v="12.314"/>
    <n v="110.82599999999999"/>
    <n v="0.8"/>
    <n v="111.62599999999999"/>
  </r>
  <r>
    <s v="5330-1"/>
    <d v="2013-12-08T00:00:00"/>
    <x v="0"/>
    <x v="168"/>
    <s v="4A Lyons St,Strathfield"/>
    <s v="Sydney"/>
    <x v="1"/>
    <x v="0"/>
    <x v="8"/>
    <x v="4"/>
    <x v="103"/>
    <x v="0"/>
    <s v="Wrap Bag"/>
    <x v="0"/>
    <d v="2013-12-08T00:00:00"/>
    <n v="0.93"/>
    <n v="1.6"/>
    <n v="0.67"/>
    <n v="25"/>
    <n v="40"/>
    <n v="0.1"/>
    <n v="4"/>
    <n v="36"/>
    <n v="1.29"/>
    <n v="37.29"/>
  </r>
  <r>
    <s v="5332-1"/>
    <d v="2013-12-09T00:00:00"/>
    <x v="0"/>
    <x v="145"/>
    <s v="1/173-179 Bronte Rd,Waverley"/>
    <s v="Sydney"/>
    <x v="1"/>
    <x v="1"/>
    <x v="2"/>
    <x v="1"/>
    <x v="65"/>
    <x v="0"/>
    <s v="Wrap Bag"/>
    <x v="0"/>
    <d v="2013-12-09T00:00:00"/>
    <n v="0.24"/>
    <n v="1.26"/>
    <n v="1.02"/>
    <n v="9"/>
    <n v="11.34"/>
    <n v="0.06"/>
    <n v="0.6804"/>
    <n v="10.659599999999999"/>
    <n v="0.7"/>
    <n v="11.359599999999999"/>
  </r>
  <r>
    <s v="5334-1"/>
    <d v="2013-12-10T00:00:00"/>
    <x v="0"/>
    <x v="91"/>
    <s v="14 Money Street"/>
    <s v="Perth"/>
    <x v="2"/>
    <x v="3"/>
    <x v="4"/>
    <x v="3"/>
    <x v="70"/>
    <x v="0"/>
    <s v="Small Box"/>
    <x v="0"/>
    <d v="2013-12-12T00:00:00"/>
    <n v="3.65"/>
    <n v="5.98"/>
    <n v="2.3300000000000005"/>
    <n v="25"/>
    <n v="149.5"/>
    <n v="0.03"/>
    <n v="4.4849999999999994"/>
    <n v="145.01499999999999"/>
    <n v="1.49"/>
    <n v="146.505"/>
  </r>
  <r>
    <s v="5335-1"/>
    <d v="2013-12-11T00:00:00"/>
    <x v="0"/>
    <x v="0"/>
    <s v="221 Barkly St,St Kilda"/>
    <s v="Melbourne"/>
    <x v="0"/>
    <x v="0"/>
    <x v="0"/>
    <x v="2"/>
    <x v="9"/>
    <x v="0"/>
    <s v="Small Box"/>
    <x v="0"/>
    <d v="2013-12-13T00:00:00"/>
    <n v="5.33"/>
    <n v="8.6"/>
    <n v="3.2699999999999996"/>
    <n v="6"/>
    <n v="51.599999999999994"/>
    <n v="0.04"/>
    <n v="2.0639999999999996"/>
    <n v="49.535999999999994"/>
    <n v="6.19"/>
    <n v="55.725999999999992"/>
  </r>
  <r>
    <s v="5335-2"/>
    <d v="2013-12-11T00:00:00"/>
    <x v="0"/>
    <x v="0"/>
    <s v="221 Barkly St,St Kilda"/>
    <s v="Melbourne"/>
    <x v="0"/>
    <x v="0"/>
    <x v="0"/>
    <x v="2"/>
    <x v="42"/>
    <x v="0"/>
    <s v="Wrap Bag"/>
    <x v="0"/>
    <d v="2013-12-15T00:00:00"/>
    <n v="2.29"/>
    <n v="3.58"/>
    <n v="1.29"/>
    <n v="30"/>
    <n v="107.4"/>
    <n v="0.01"/>
    <n v="1.0740000000000001"/>
    <n v="106.32600000000001"/>
    <n v="1.63"/>
    <n v="107.956"/>
  </r>
  <r>
    <s v="5336-1"/>
    <d v="2013-12-11T00:00:00"/>
    <x v="0"/>
    <x v="169"/>
    <s v="37/59 Brewer Street, Perth"/>
    <s v="Sydney"/>
    <x v="1"/>
    <x v="1"/>
    <x v="8"/>
    <x v="2"/>
    <x v="79"/>
    <x v="0"/>
    <s v="Small Box"/>
    <x v="0"/>
    <d v="2013-12-15T00:00:00"/>
    <n v="18.38"/>
    <n v="29.17"/>
    <n v="10.790000000000003"/>
    <n v="16"/>
    <n v="466.72"/>
    <n v="7.0000000000000007E-2"/>
    <n v="32.670400000000008"/>
    <n v="434.0496"/>
    <n v="6.27"/>
    <n v="440.31959999999998"/>
  </r>
  <r>
    <s v="5340-1"/>
    <d v="2013-12-13T00:00:00"/>
    <x v="0"/>
    <x v="170"/>
    <s v="Westfield Sydney,Sydney"/>
    <s v="Sydney"/>
    <x v="1"/>
    <x v="2"/>
    <x v="5"/>
    <x v="3"/>
    <x v="104"/>
    <x v="0"/>
    <s v="Small Box"/>
    <x v="0"/>
    <d v="2013-12-14T00:00:00"/>
    <n v="3.75"/>
    <n v="5.77"/>
    <n v="2.0199999999999996"/>
    <n v="9"/>
    <n v="51.929999999999993"/>
    <n v="0"/>
    <n v="0"/>
    <n v="51.929999999999993"/>
    <n v="4.97"/>
    <n v="56.899999999999991"/>
  </r>
  <r>
    <s v="5342-1"/>
    <d v="2013-12-13T00:00:00"/>
    <x v="0"/>
    <x v="171"/>
    <s v="22 St Georges Terrace, Perth"/>
    <s v="Sydney"/>
    <x v="1"/>
    <x v="1"/>
    <x v="2"/>
    <x v="1"/>
    <x v="105"/>
    <x v="0"/>
    <s v="Wrap Bag"/>
    <x v="0"/>
    <d v="2013-12-15T00:00:00"/>
    <n v="1.92"/>
    <n v="3.26"/>
    <n v="1.3399999999999999"/>
    <n v="6"/>
    <n v="19.559999999999999"/>
    <n v="0.01"/>
    <n v="0.1956"/>
    <n v="19.3644"/>
    <n v="1.86"/>
    <n v="21.224399999999999"/>
  </r>
  <r>
    <s v="5343-1"/>
    <d v="2013-12-16T00:00:00"/>
    <x v="0"/>
    <x v="172"/>
    <s v="541 Church St,Richmond"/>
    <s v="Melbourne"/>
    <x v="0"/>
    <x v="3"/>
    <x v="0"/>
    <x v="1"/>
    <x v="97"/>
    <x v="0"/>
    <s v="Small Box"/>
    <x v="0"/>
    <d v="2013-12-19T00:00:00"/>
    <n v="2.29"/>
    <n v="3.69"/>
    <n v="1.4"/>
    <n v="45"/>
    <n v="166.05"/>
    <n v="0.08"/>
    <n v="13.284000000000001"/>
    <n v="152.76600000000002"/>
    <n v="0.5"/>
    <n v="153.26600000000002"/>
  </r>
  <r>
    <s v="5345-1"/>
    <d v="2013-12-17T00:00:00"/>
    <x v="0"/>
    <x v="173"/>
    <s v="85-113 Dunning Ave,Rosebery"/>
    <s v="Sydney"/>
    <x v="1"/>
    <x v="1"/>
    <x v="11"/>
    <x v="1"/>
    <x v="9"/>
    <x v="0"/>
    <s v="Small Box"/>
    <x v="0"/>
    <d v="2013-12-19T00:00:00"/>
    <n v="5.33"/>
    <n v="8.6"/>
    <n v="3.2699999999999996"/>
    <n v="23"/>
    <n v="197.79999999999998"/>
    <n v="0.02"/>
    <n v="3.956"/>
    <n v="193.84399999999999"/>
    <n v="6.19"/>
    <n v="200.03399999999999"/>
  </r>
  <r>
    <s v="5346-1"/>
    <d v="2013-12-19T00:00:00"/>
    <x v="0"/>
    <x v="57"/>
    <s v="221 Barkly St,St Kilda"/>
    <s v="Melbourne"/>
    <x v="0"/>
    <x v="2"/>
    <x v="0"/>
    <x v="0"/>
    <x v="88"/>
    <x v="1"/>
    <s v="Small Box"/>
    <x v="0"/>
    <d v="2013-12-21T00:00:00"/>
    <n v="42.11"/>
    <n v="80.98"/>
    <n v="38.870000000000005"/>
    <n v="13"/>
    <n v="1052.74"/>
    <n v="0.03"/>
    <n v="31.5822"/>
    <n v="1021.1578"/>
    <n v="7.18"/>
    <n v="1028.3378"/>
  </r>
  <r>
    <s v="5347-1"/>
    <d v="2013-12-23T00:00:00"/>
    <x v="0"/>
    <x v="174"/>
    <s v="1-2/299 Sussex St,Sydney"/>
    <s v="Sydney"/>
    <x v="1"/>
    <x v="3"/>
    <x v="9"/>
    <x v="1"/>
    <x v="24"/>
    <x v="1"/>
    <s v="Small Box"/>
    <x v="0"/>
    <d v="2013-12-25T00:00:00"/>
    <n v="39.64"/>
    <n v="152.47999999999999"/>
    <n v="112.83999999999999"/>
    <n v="41"/>
    <n v="6251.6799999999994"/>
    <n v="7.0000000000000007E-2"/>
    <n v="437.61759999999998"/>
    <n v="5814.0623999999998"/>
    <n v="6.5"/>
    <n v="5820.5623999999998"/>
  </r>
  <r>
    <s v="5349-1"/>
    <d v="2013-12-23T00:00:00"/>
    <x v="0"/>
    <x v="175"/>
    <s v="120 Hardware St,Melbourne"/>
    <s v="Melbourne"/>
    <x v="0"/>
    <x v="0"/>
    <x v="1"/>
    <x v="4"/>
    <x v="106"/>
    <x v="0"/>
    <s v="Small Box"/>
    <x v="0"/>
    <d v="2013-12-23T00:00:00"/>
    <n v="3.14"/>
    <n v="4.91"/>
    <n v="1.77"/>
    <n v="12"/>
    <n v="58.92"/>
    <n v="0.04"/>
    <n v="2.3568000000000002"/>
    <n v="56.563200000000002"/>
    <n v="0.5"/>
    <n v="57.063200000000002"/>
  </r>
  <r>
    <s v="5350-1"/>
    <d v="2013-12-27T00:00:00"/>
    <x v="0"/>
    <x v="176"/>
    <s v="2/797 Botany Rd,Rosebery"/>
    <s v="Sydney"/>
    <x v="1"/>
    <x v="0"/>
    <x v="6"/>
    <x v="2"/>
    <x v="79"/>
    <x v="0"/>
    <s v="Small Box"/>
    <x v="0"/>
    <d v="2013-12-29T00:00:00"/>
    <n v="18.38"/>
    <n v="29.17"/>
    <n v="10.790000000000003"/>
    <n v="37"/>
    <n v="1079.29"/>
    <n v="0.09"/>
    <n v="97.136099999999999"/>
    <n v="982.15390000000002"/>
    <n v="6.27"/>
    <n v="988.4239"/>
  </r>
  <r>
    <s v="5352-1"/>
    <d v="2013-12-29T00:00:00"/>
    <x v="0"/>
    <x v="84"/>
    <s v="Shop 1, 186-190 Church Street,Parramatta;46a Macleay Street,Potts Point"/>
    <s v="Sydney"/>
    <x v="1"/>
    <x v="2"/>
    <x v="11"/>
    <x v="4"/>
    <x v="1"/>
    <x v="0"/>
    <s v="Wrap Bag"/>
    <x v="0"/>
    <d v="2013-12-30T00:00:00"/>
    <n v="2.39"/>
    <n v="4.26"/>
    <n v="1.8699999999999997"/>
    <n v="26"/>
    <n v="110.75999999999999"/>
    <n v="0.1"/>
    <n v="11.076000000000001"/>
    <n v="99.683999999999997"/>
    <n v="1.2"/>
    <n v="100.884"/>
  </r>
  <r>
    <s v="5354-1"/>
    <d v="2013-12-29T00:00:00"/>
    <x v="0"/>
    <x v="113"/>
    <s v="38/133-145 Castlereagh St,Sydney"/>
    <s v="Sydney"/>
    <x v="1"/>
    <x v="3"/>
    <x v="5"/>
    <x v="3"/>
    <x v="46"/>
    <x v="1"/>
    <s v="Small Box"/>
    <x v="0"/>
    <d v="2013-12-30T00:00:00"/>
    <n v="60.59"/>
    <n v="100.98"/>
    <n v="40.39"/>
    <n v="1"/>
    <n v="100.98"/>
    <n v="0.1"/>
    <n v="10.098000000000001"/>
    <n v="90.882000000000005"/>
    <n v="7.18"/>
    <n v="98.062000000000012"/>
  </r>
  <r>
    <s v="5355-1"/>
    <d v="2013-12-30T00:00:00"/>
    <x v="0"/>
    <x v="177"/>
    <s v="98 Holdsworth Street,Woollahra"/>
    <s v="Sydney"/>
    <x v="1"/>
    <x v="3"/>
    <x v="5"/>
    <x v="0"/>
    <x v="107"/>
    <x v="0"/>
    <s v="Small Pack"/>
    <x v="0"/>
    <d v="2013-12-31T00:00:00"/>
    <n v="4.0999999999999996"/>
    <n v="9.31"/>
    <n v="5.2100000000000009"/>
    <n v="18"/>
    <n v="167.58"/>
    <n v="0.01"/>
    <n v="1.6758000000000002"/>
    <n v="165.9042"/>
    <n v="3.98"/>
    <n v="169.88419999999999"/>
  </r>
  <r>
    <s v="5357-1"/>
    <d v="2013-12-30T00:00:00"/>
    <x v="0"/>
    <x v="166"/>
    <s v="180 High Street,Windsor"/>
    <s v="Melbourne"/>
    <x v="0"/>
    <x v="3"/>
    <x v="1"/>
    <x v="2"/>
    <x v="37"/>
    <x v="0"/>
    <s v="Small Box"/>
    <x v="0"/>
    <d v="2013-12-30T00:00:00"/>
    <n v="13.64"/>
    <n v="20.98"/>
    <n v="7.34"/>
    <n v="23"/>
    <n v="482.54"/>
    <n v="0.03"/>
    <n v="14.4762"/>
    <n v="468.06380000000001"/>
    <n v="1.49"/>
    <n v="469.55380000000002"/>
  </r>
  <r>
    <s v="5358-1"/>
    <d v="2014-01-04T00:00:00"/>
    <x v="1"/>
    <x v="178"/>
    <s v="Westfield Miranda, 600 Kingsway,Miranda"/>
    <s v="Sydney"/>
    <x v="1"/>
    <x v="2"/>
    <x v="12"/>
    <x v="1"/>
    <x v="0"/>
    <x v="0"/>
    <s v="Small Box"/>
    <x v="0"/>
    <d v="2014-01-06T00:00:00"/>
    <n v="3.52"/>
    <n v="5.58"/>
    <n v="2.06"/>
    <n v="49"/>
    <n v="273.42"/>
    <n v="0.02"/>
    <n v="5.4684000000000008"/>
    <n v="267.95160000000004"/>
    <n v="2.99"/>
    <n v="270.94160000000005"/>
  </r>
  <r>
    <s v="5358-2"/>
    <d v="2014-01-04T00:00:00"/>
    <x v="1"/>
    <x v="178"/>
    <s v="Westfield Miranda, 600 Kingsway,Miranda"/>
    <s v="Sydney"/>
    <x v="1"/>
    <x v="2"/>
    <x v="12"/>
    <x v="1"/>
    <x v="91"/>
    <x v="0"/>
    <s v="Small Box"/>
    <x v="0"/>
    <d v="2014-01-05T00:00:00"/>
    <n v="22.18"/>
    <n v="54.1"/>
    <n v="31.92"/>
    <n v="42"/>
    <n v="2272.2000000000003"/>
    <n v="0.02"/>
    <n v="45.44400000000001"/>
    <n v="2226.7560000000003"/>
    <n v="19.989999999999998"/>
    <n v="2246.7460000000001"/>
  </r>
  <r>
    <s v="5360-1"/>
    <d v="2014-01-07T00:00:00"/>
    <x v="1"/>
    <x v="179"/>
    <s v="73 York St,Sydney"/>
    <s v="Sydney"/>
    <x v="1"/>
    <x v="0"/>
    <x v="8"/>
    <x v="0"/>
    <x v="82"/>
    <x v="0"/>
    <s v="Small Box"/>
    <x v="0"/>
    <d v="2014-01-07T00:00:00"/>
    <n v="67.73"/>
    <n v="165.2"/>
    <n v="97.469999999999985"/>
    <n v="49"/>
    <n v="8094.7999999999993"/>
    <n v="0.05"/>
    <n v="404.74"/>
    <n v="7690.0599999999995"/>
    <n v="19.989999999999998"/>
    <n v="7710.0499999999993"/>
  </r>
  <r>
    <s v="5362-1"/>
    <d v="2014-01-07T00:00:00"/>
    <x v="1"/>
    <x v="180"/>
    <s v="211/25-29 Dixon St,Haymarket"/>
    <s v="Sydney"/>
    <x v="1"/>
    <x v="0"/>
    <x v="12"/>
    <x v="4"/>
    <x v="108"/>
    <x v="0"/>
    <s v="Wrap Bag"/>
    <x v="0"/>
    <d v="2014-01-08T00:00:00"/>
    <n v="2.31"/>
    <n v="3.78"/>
    <n v="1.4699999999999998"/>
    <n v="47"/>
    <n v="177.66"/>
    <n v="0.02"/>
    <n v="3.5531999999999999"/>
    <n v="174.10679999999999"/>
    <n v="0.71"/>
    <n v="174.8168"/>
  </r>
  <r>
    <s v="5364-1"/>
    <d v="2014-01-08T00:00:00"/>
    <x v="1"/>
    <x v="181"/>
    <s v="85-113 Dunning Ave,Rosebery"/>
    <s v="Sydney"/>
    <x v="1"/>
    <x v="3"/>
    <x v="11"/>
    <x v="2"/>
    <x v="31"/>
    <x v="0"/>
    <s v="Small Box"/>
    <x v="0"/>
    <d v="2014-01-15T00:00:00"/>
    <n v="13.88"/>
    <n v="22.38"/>
    <n v="8.4999999999999982"/>
    <n v="21"/>
    <n v="469.97999999999996"/>
    <n v="0.04"/>
    <n v="18.799199999999999"/>
    <n v="451.18079999999998"/>
    <n v="15.1"/>
    <n v="466.2808"/>
  </r>
  <r>
    <s v="5365-1"/>
    <d v="2014-01-08T00:00:00"/>
    <x v="1"/>
    <x v="13"/>
    <s v="541 Church St ,Richmond"/>
    <s v="Melbourne"/>
    <x v="0"/>
    <x v="1"/>
    <x v="0"/>
    <x v="2"/>
    <x v="15"/>
    <x v="0"/>
    <s v="Wrap Bag"/>
    <x v="0"/>
    <d v="2014-01-12T00:00:00"/>
    <n v="1.3"/>
    <n v="2.88"/>
    <n v="1.5799999999999998"/>
    <n v="46"/>
    <n v="132.47999999999999"/>
    <n v="0.04"/>
    <n v="5.2991999999999999"/>
    <n v="127.18079999999999"/>
    <n v="1.01"/>
    <n v="128.1908"/>
  </r>
  <r>
    <s v="5367-1"/>
    <d v="2014-01-10T00:00:00"/>
    <x v="1"/>
    <x v="182"/>
    <s v="101 Murray Street, Perth"/>
    <s v="Sydney"/>
    <x v="1"/>
    <x v="0"/>
    <x v="9"/>
    <x v="4"/>
    <x v="54"/>
    <x v="0"/>
    <s v="Small Box"/>
    <x v="1"/>
    <d v="2014-01-10T00:00:00"/>
    <n v="3.4"/>
    <n v="5.4"/>
    <n v="2.0000000000000004"/>
    <n v="9"/>
    <n v="48.6"/>
    <n v="0.09"/>
    <n v="4.3739999999999997"/>
    <n v="44.225999999999999"/>
    <n v="7.78"/>
    <n v="52.006"/>
  </r>
  <r>
    <s v="5367-2"/>
    <d v="2014-01-10T00:00:00"/>
    <x v="1"/>
    <x v="182"/>
    <s v="101 Murray Street, Perth"/>
    <s v="Sydney"/>
    <x v="1"/>
    <x v="0"/>
    <x v="9"/>
    <x v="4"/>
    <x v="19"/>
    <x v="0"/>
    <s v="Small Pack"/>
    <x v="0"/>
    <d v="2014-01-11T00:00:00"/>
    <n v="0.94"/>
    <n v="2.08"/>
    <n v="1.1400000000000001"/>
    <n v="43"/>
    <n v="89.44"/>
    <n v="0.05"/>
    <n v="4.4720000000000004"/>
    <n v="84.968000000000004"/>
    <n v="2.56"/>
    <n v="87.528000000000006"/>
  </r>
  <r>
    <s v="5369-1"/>
    <d v="2014-01-10T00:00:00"/>
    <x v="1"/>
    <x v="94"/>
    <s v="224A Gertrude St,Fitzroy"/>
    <s v="Melbourne"/>
    <x v="0"/>
    <x v="3"/>
    <x v="1"/>
    <x v="3"/>
    <x v="84"/>
    <x v="2"/>
    <s v="Large Box"/>
    <x v="1"/>
    <d v="2014-01-11T00:00:00"/>
    <n v="56.16"/>
    <n v="136.97999999999999"/>
    <n v="80.819999999999993"/>
    <n v="18"/>
    <n v="2465.64"/>
    <n v="0.02"/>
    <n v="49.312799999999996"/>
    <n v="2416.3271999999997"/>
    <n v="24.49"/>
    <n v="2440.8171999999995"/>
  </r>
  <r>
    <s v="5373-1"/>
    <d v="2014-01-13T00:00:00"/>
    <x v="1"/>
    <x v="183"/>
    <s v="14 Knebworth Avenue, Perth"/>
    <s v="Melbourne"/>
    <x v="0"/>
    <x v="0"/>
    <x v="1"/>
    <x v="2"/>
    <x v="60"/>
    <x v="0"/>
    <s v="Small Box"/>
    <x v="0"/>
    <d v="2014-01-18T00:00:00"/>
    <n v="21.56"/>
    <n v="35.94"/>
    <n v="14.379999999999999"/>
    <n v="13"/>
    <n v="467.21999999999997"/>
    <n v="0.09"/>
    <n v="42.049799999999998"/>
    <n v="425.17019999999997"/>
    <n v="6.66"/>
    <n v="431.83019999999999"/>
  </r>
  <r>
    <s v="5375-1"/>
    <d v="2014-01-14T00:00:00"/>
    <x v="1"/>
    <x v="184"/>
    <s v="274 Canley Vale Rd,Canley Heights"/>
    <s v="Sydney"/>
    <x v="1"/>
    <x v="2"/>
    <x v="2"/>
    <x v="3"/>
    <x v="54"/>
    <x v="0"/>
    <s v="Small Box"/>
    <x v="1"/>
    <d v="2014-01-16T00:00:00"/>
    <n v="3.4"/>
    <n v="5.4"/>
    <n v="2.0000000000000004"/>
    <n v="14"/>
    <n v="75.600000000000009"/>
    <n v="0.09"/>
    <n v="6.8040000000000003"/>
    <n v="68.796000000000006"/>
    <n v="7.78"/>
    <n v="76.576000000000008"/>
  </r>
  <r>
    <s v="5377-1"/>
    <d v="2014-01-14T00:00:00"/>
    <x v="1"/>
    <x v="127"/>
    <s v="61 York St,Sydney"/>
    <s v="Sydney"/>
    <x v="1"/>
    <x v="0"/>
    <x v="2"/>
    <x v="3"/>
    <x v="72"/>
    <x v="0"/>
    <s v="Wrap Bag"/>
    <x v="0"/>
    <d v="2014-01-17T00:00:00"/>
    <n v="1.95"/>
    <n v="3.98"/>
    <n v="2.0300000000000002"/>
    <n v="41"/>
    <n v="163.18"/>
    <n v="7.0000000000000007E-2"/>
    <n v="11.422600000000001"/>
    <n v="151.75740000000002"/>
    <n v="0.83"/>
    <n v="152.58740000000003"/>
  </r>
  <r>
    <s v="5379-1"/>
    <d v="2014-01-15T00:00:00"/>
    <x v="1"/>
    <x v="73"/>
    <s v="508/130 Mounts Bay Road, Perth"/>
    <s v="Perth"/>
    <x v="2"/>
    <x v="1"/>
    <x v="8"/>
    <x v="4"/>
    <x v="85"/>
    <x v="0"/>
    <s v="Small Pack"/>
    <x v="1"/>
    <d v="2014-01-17T00:00:00"/>
    <n v="5.19"/>
    <n v="12.98"/>
    <n v="7.79"/>
    <n v="34"/>
    <n v="441.32"/>
    <n v="0.04"/>
    <n v="17.652799999999999"/>
    <n v="423.66719999999998"/>
    <n v="3.14"/>
    <n v="426.80719999999997"/>
  </r>
  <r>
    <s v="5381-1"/>
    <d v="2014-01-15T00:00:00"/>
    <x v="1"/>
    <x v="185"/>
    <s v="12 Princess Hwy,Sylvania"/>
    <s v="Sydney"/>
    <x v="1"/>
    <x v="0"/>
    <x v="3"/>
    <x v="4"/>
    <x v="109"/>
    <x v="1"/>
    <s v="Jumbo Drum"/>
    <x v="2"/>
    <d v="2014-01-17T00:00:00"/>
    <n v="219.61"/>
    <n v="535.64"/>
    <n v="316.02999999999997"/>
    <n v="1"/>
    <n v="535.64"/>
    <n v="0.05"/>
    <n v="26.782"/>
    <n v="508.858"/>
    <n v="14.7"/>
    <n v="523.55799999999999"/>
  </r>
  <r>
    <s v="5383-1"/>
    <d v="2014-01-17T00:00:00"/>
    <x v="1"/>
    <x v="186"/>
    <s v="27/580 Hay Street"/>
    <s v="Perth"/>
    <x v="2"/>
    <x v="0"/>
    <x v="8"/>
    <x v="1"/>
    <x v="40"/>
    <x v="0"/>
    <s v="Small Box"/>
    <x v="0"/>
    <d v="2014-01-19T00:00:00"/>
    <n v="3.84"/>
    <n v="6.3"/>
    <n v="2.46"/>
    <n v="32"/>
    <n v="201.6"/>
    <n v="0.04"/>
    <n v="8.0640000000000001"/>
    <n v="193.536"/>
    <n v="0.5"/>
    <n v="194.036"/>
  </r>
  <r>
    <s v="5384-1"/>
    <d v="2014-01-23T00:00:00"/>
    <x v="1"/>
    <x v="187"/>
    <s v="1 John Street,Waterloo"/>
    <s v="Sydney"/>
    <x v="1"/>
    <x v="0"/>
    <x v="10"/>
    <x v="3"/>
    <x v="81"/>
    <x v="0"/>
    <s v="Wrap Bag"/>
    <x v="0"/>
    <d v="2014-01-25T00:00:00"/>
    <n v="0.93"/>
    <n v="1.48"/>
    <n v="0.54999999999999993"/>
    <n v="27"/>
    <n v="39.96"/>
    <n v="0"/>
    <n v="0"/>
    <n v="39.96"/>
    <n v="0.7"/>
    <n v="40.660000000000004"/>
  </r>
  <r>
    <s v="5386-1"/>
    <d v="2014-01-24T00:00:00"/>
    <x v="1"/>
    <x v="188"/>
    <s v="470 Anzac Parade,Kingsford"/>
    <s v="Sydney"/>
    <x v="1"/>
    <x v="1"/>
    <x v="8"/>
    <x v="0"/>
    <x v="74"/>
    <x v="1"/>
    <s v="Jumbo Drum"/>
    <x v="2"/>
    <d v="2014-01-26T00:00:00"/>
    <n v="76.790000000000006"/>
    <n v="119.99"/>
    <n v="43.199999999999989"/>
    <n v="13"/>
    <n v="1559.87"/>
    <n v="0.04"/>
    <n v="62.394799999999996"/>
    <n v="1497.4751999999999"/>
    <n v="14"/>
    <n v="1511.4751999999999"/>
  </r>
  <r>
    <s v="5388-1"/>
    <d v="2014-01-25T00:00:00"/>
    <x v="1"/>
    <x v="189"/>
    <s v="53-55 Liverpool St,Sydney"/>
    <s v="Sydney"/>
    <x v="1"/>
    <x v="0"/>
    <x v="8"/>
    <x v="4"/>
    <x v="5"/>
    <x v="0"/>
    <s v="Wrap Bag"/>
    <x v="0"/>
    <d v="2014-01-27T00:00:00"/>
    <n v="1.0900000000000001"/>
    <n v="2.6"/>
    <n v="1.51"/>
    <n v="27"/>
    <n v="70.2"/>
    <n v="0.09"/>
    <n v="6.3179999999999996"/>
    <n v="63.882000000000005"/>
    <n v="2.4"/>
    <n v="66.282000000000011"/>
  </r>
  <r>
    <s v="5389-1"/>
    <d v="2014-01-26T00:00:00"/>
    <x v="1"/>
    <x v="190"/>
    <s v="180 High Street,Windsor"/>
    <s v="Melbourne"/>
    <x v="0"/>
    <x v="2"/>
    <x v="1"/>
    <x v="2"/>
    <x v="36"/>
    <x v="2"/>
    <s v="Small Pack"/>
    <x v="0"/>
    <d v="2014-02-02T00:00:00"/>
    <n v="5.5"/>
    <n v="12.22"/>
    <n v="6.7200000000000006"/>
    <n v="19"/>
    <n v="232.18"/>
    <n v="0.09"/>
    <n v="20.8962"/>
    <n v="211.28380000000001"/>
    <n v="2.85"/>
    <n v="214.13380000000001"/>
  </r>
  <r>
    <s v="5391-1"/>
    <d v="2014-01-26T00:00:00"/>
    <x v="1"/>
    <x v="191"/>
    <s v="18 Robinson Avenue, Perth"/>
    <s v="Sydney"/>
    <x v="1"/>
    <x v="1"/>
    <x v="8"/>
    <x v="1"/>
    <x v="25"/>
    <x v="1"/>
    <s v="Small Box"/>
    <x v="0"/>
    <d v="2014-01-27T00:00:00"/>
    <n v="10.07"/>
    <n v="15.98"/>
    <n v="5.91"/>
    <n v="8"/>
    <n v="127.84"/>
    <n v="0.04"/>
    <n v="5.1135999999999999"/>
    <n v="122.7264"/>
    <n v="4"/>
    <n v="126.7264"/>
  </r>
  <r>
    <s v="5392-1"/>
    <d v="2014-01-27T00:00:00"/>
    <x v="1"/>
    <x v="192"/>
    <s v="99 Lygon Street,East Brunswick"/>
    <s v="Melbourne"/>
    <x v="0"/>
    <x v="2"/>
    <x v="1"/>
    <x v="0"/>
    <x v="9"/>
    <x v="0"/>
    <s v="Small Box"/>
    <x v="0"/>
    <d v="2014-01-27T00:00:00"/>
    <n v="5.33"/>
    <n v="8.6"/>
    <n v="3.2699999999999996"/>
    <n v="4"/>
    <n v="34.4"/>
    <n v="0.04"/>
    <n v="1.3759999999999999"/>
    <n v="33.024000000000001"/>
    <n v="6.19"/>
    <n v="39.213999999999999"/>
  </r>
  <r>
    <s v="5393-1"/>
    <d v="2014-01-29T00:00:00"/>
    <x v="1"/>
    <x v="193"/>
    <s v="48 Albion St,Surry Hills"/>
    <s v="Sydney"/>
    <x v="1"/>
    <x v="3"/>
    <x v="5"/>
    <x v="0"/>
    <x v="8"/>
    <x v="0"/>
    <s v="Small Box"/>
    <x v="0"/>
    <d v="2014-02-01T00:00:00"/>
    <n v="54.29"/>
    <n v="90.48"/>
    <n v="36.190000000000005"/>
    <n v="27"/>
    <n v="2442.96"/>
    <n v="0"/>
    <n v="0"/>
    <n v="2442.96"/>
    <n v="19.989999999999998"/>
    <n v="2462.9499999999998"/>
  </r>
  <r>
    <s v="5394-1"/>
    <d v="2014-01-30T00:00:00"/>
    <x v="1"/>
    <x v="194"/>
    <s v="2a/285A Crown St,Surry Hills"/>
    <s v="Sydney"/>
    <x v="1"/>
    <x v="1"/>
    <x v="4"/>
    <x v="1"/>
    <x v="37"/>
    <x v="0"/>
    <s v="Small Box"/>
    <x v="0"/>
    <d v="2014-02-01T00:00:00"/>
    <n v="13.64"/>
    <n v="20.98"/>
    <n v="7.34"/>
    <n v="31"/>
    <n v="650.38"/>
    <n v="0.09"/>
    <n v="58.534199999999998"/>
    <n v="591.84580000000005"/>
    <n v="1.49"/>
    <n v="593.33580000000006"/>
  </r>
  <r>
    <s v="5395-1"/>
    <d v="2014-01-30T00:00:00"/>
    <x v="1"/>
    <x v="195"/>
    <s v="21 Wentworth St,Parramatta"/>
    <s v="Sydney"/>
    <x v="1"/>
    <x v="3"/>
    <x v="9"/>
    <x v="4"/>
    <x v="47"/>
    <x v="0"/>
    <s v="Wrap Bag"/>
    <x v="0"/>
    <d v="2014-02-01T00:00:00"/>
    <n v="3.48"/>
    <n v="5.43"/>
    <n v="1.9499999999999997"/>
    <n v="2"/>
    <n v="10.86"/>
    <n v="0.1"/>
    <n v="1.0860000000000001"/>
    <n v="9.7739999999999991"/>
    <n v="0.95"/>
    <n v="10.723999999999998"/>
  </r>
  <r>
    <s v="5396-1"/>
    <d v="2014-02-02T00:00:00"/>
    <x v="1"/>
    <x v="196"/>
    <s v="Crown Complex,Southbank"/>
    <s v="Melbourne"/>
    <x v="0"/>
    <x v="3"/>
    <x v="1"/>
    <x v="2"/>
    <x v="43"/>
    <x v="0"/>
    <s v="Small Box"/>
    <x v="0"/>
    <d v="2014-02-07T00:00:00"/>
    <n v="2.25"/>
    <n v="3.69"/>
    <n v="1.44"/>
    <n v="20"/>
    <n v="73.8"/>
    <n v="0.08"/>
    <n v="5.9039999999999999"/>
    <n v="67.896000000000001"/>
    <n v="2.5"/>
    <n v="70.396000000000001"/>
  </r>
  <r>
    <s v="5398-1"/>
    <d v="2014-02-03T00:00:00"/>
    <x v="1"/>
    <x v="197"/>
    <s v="27 Greenfield Parade,Bankstown"/>
    <s v="Sydney"/>
    <x v="1"/>
    <x v="3"/>
    <x v="3"/>
    <x v="1"/>
    <x v="66"/>
    <x v="1"/>
    <s v="Small Box"/>
    <x v="0"/>
    <d v="2014-02-04T00:00:00"/>
    <n v="54.52"/>
    <n v="100.97"/>
    <n v="46.449999999999996"/>
    <n v="15"/>
    <n v="1514.55"/>
    <n v="0.08"/>
    <n v="121.164"/>
    <n v="1393.386"/>
    <n v="7.18"/>
    <n v="1400.566"/>
  </r>
  <r>
    <s v="5400-1"/>
    <d v="2014-02-05T00:00:00"/>
    <x v="1"/>
    <x v="153"/>
    <s v="33/4 Barangaroo Avenue,Sydney"/>
    <s v="Sydney"/>
    <x v="1"/>
    <x v="3"/>
    <x v="5"/>
    <x v="4"/>
    <x v="67"/>
    <x v="1"/>
    <s v="Jumbo Drum"/>
    <x v="2"/>
    <d v="2014-02-06T00:00:00"/>
    <n v="278.99"/>
    <n v="449.99"/>
    <n v="171"/>
    <n v="39"/>
    <n v="17549.61"/>
    <n v="0.08"/>
    <n v="1403.9688000000001"/>
    <n v="16145.6412"/>
    <n v="49"/>
    <n v="16194.6412"/>
  </r>
  <r>
    <s v="5402-1"/>
    <d v="2014-02-07T00:00:00"/>
    <x v="1"/>
    <x v="198"/>
    <s v="222 Barkly St,St Kilda"/>
    <s v="Melbourne"/>
    <x v="0"/>
    <x v="1"/>
    <x v="0"/>
    <x v="2"/>
    <x v="110"/>
    <x v="1"/>
    <s v="Large Box"/>
    <x v="0"/>
    <d v="2014-02-16T00:00:00"/>
    <n v="377.99"/>
    <n v="599.99"/>
    <n v="222"/>
    <n v="48"/>
    <n v="28799.52"/>
    <n v="0.08"/>
    <n v="2303.9616000000001"/>
    <n v="26495.558400000002"/>
    <n v="24.49"/>
    <n v="26520.048400000003"/>
  </r>
  <r>
    <s v="5402-2"/>
    <d v="2014-02-07T00:00:00"/>
    <x v="1"/>
    <x v="198"/>
    <s v="222 Barkly St,St Kilda"/>
    <s v="Melbourne"/>
    <x v="0"/>
    <x v="1"/>
    <x v="0"/>
    <x v="2"/>
    <x v="111"/>
    <x v="0"/>
    <s v="Wrap Bag"/>
    <x v="1"/>
    <d v="2014-02-12T00:00:00"/>
    <n v="2.59"/>
    <n v="3.98"/>
    <n v="1.3900000000000001"/>
    <n v="11"/>
    <n v="43.78"/>
    <n v="0.1"/>
    <n v="4.3780000000000001"/>
    <n v="39.402000000000001"/>
    <n v="2.97"/>
    <n v="42.372"/>
  </r>
  <r>
    <s v="5404-1"/>
    <d v="2014-02-09T00:00:00"/>
    <x v="1"/>
    <x v="199"/>
    <s v="53 Riley Street,Woolloomooloo"/>
    <s v="Sydney"/>
    <x v="1"/>
    <x v="1"/>
    <x v="8"/>
    <x v="2"/>
    <x v="77"/>
    <x v="0"/>
    <s v="Small Box"/>
    <x v="0"/>
    <d v="2014-02-13T00:00:00"/>
    <n v="2.2599999999999998"/>
    <n v="3.58"/>
    <n v="1.3200000000000003"/>
    <n v="42"/>
    <n v="150.36000000000001"/>
    <n v="0.01"/>
    <n v="1.5036000000000003"/>
    <n v="148.85640000000001"/>
    <n v="5.47"/>
    <n v="154.32640000000001"/>
  </r>
  <r>
    <s v="5405-1"/>
    <d v="2014-02-10T00:00:00"/>
    <x v="1"/>
    <x v="200"/>
    <s v="412 Brunswick St,Fitzroy"/>
    <s v="Melbourne"/>
    <x v="0"/>
    <x v="3"/>
    <x v="1"/>
    <x v="1"/>
    <x v="30"/>
    <x v="1"/>
    <s v="Medium Box"/>
    <x v="0"/>
    <d v="2014-02-11T00:00:00"/>
    <n v="8.82"/>
    <n v="20.99"/>
    <n v="12.169999999999998"/>
    <n v="42"/>
    <n v="881.57999999999993"/>
    <n v="7.0000000000000007E-2"/>
    <n v="61.710599999999999"/>
    <n v="819.86939999999993"/>
    <n v="4.8099999999999996"/>
    <n v="824.67939999999987"/>
  </r>
  <r>
    <s v="5407-1"/>
    <d v="2014-02-10T00:00:00"/>
    <x v="1"/>
    <x v="201"/>
    <s v="163 Concord Road,North Strathfield"/>
    <s v="Sydney"/>
    <x v="1"/>
    <x v="2"/>
    <x v="10"/>
    <x v="2"/>
    <x v="112"/>
    <x v="0"/>
    <s v="Small Box"/>
    <x v="1"/>
    <d v="2014-02-12T00:00:00"/>
    <n v="52.07"/>
    <n v="83.98"/>
    <n v="31.910000000000004"/>
    <n v="9"/>
    <n v="755.82"/>
    <n v="0.05"/>
    <n v="37.791000000000004"/>
    <n v="718.029"/>
    <n v="5.01"/>
    <n v="723.03899999999999"/>
  </r>
  <r>
    <s v="5409-1"/>
    <d v="2014-02-12T00:00:00"/>
    <x v="1"/>
    <x v="202"/>
    <s v="438 Victoria Avenue,Chatswood"/>
    <s v="Sydney"/>
    <x v="1"/>
    <x v="0"/>
    <x v="5"/>
    <x v="0"/>
    <x v="67"/>
    <x v="1"/>
    <s v="Large Box"/>
    <x v="0"/>
    <d v="2014-02-13T00:00:00"/>
    <n v="216"/>
    <n v="449.99"/>
    <n v="233.99"/>
    <n v="5"/>
    <n v="2249.9499999999998"/>
    <n v="0.02"/>
    <n v="44.998999999999995"/>
    <n v="2204.951"/>
    <n v="24.49"/>
    <n v="2229.4409999999998"/>
  </r>
  <r>
    <s v="5411-1"/>
    <d v="2014-02-13T00:00:00"/>
    <x v="1"/>
    <x v="67"/>
    <s v="61 York St,Sydney"/>
    <s v="Sydney"/>
    <x v="1"/>
    <x v="2"/>
    <x v="2"/>
    <x v="0"/>
    <x v="113"/>
    <x v="0"/>
    <s v="Wrap Bag"/>
    <x v="0"/>
    <d v="2014-02-13T00:00:00"/>
    <n v="2.16"/>
    <n v="3.85"/>
    <n v="1.69"/>
    <n v="31"/>
    <n v="119.35000000000001"/>
    <n v="0.09"/>
    <n v="10.7415"/>
    <n v="108.60850000000001"/>
    <n v="0.7"/>
    <n v="109.30850000000001"/>
  </r>
  <r>
    <s v="5413-1"/>
    <d v="2014-02-15T00:00:00"/>
    <x v="1"/>
    <x v="203"/>
    <s v="224A Gertrude St,Fitzroy"/>
    <s v="Melbourne"/>
    <x v="0"/>
    <x v="0"/>
    <x v="1"/>
    <x v="4"/>
    <x v="114"/>
    <x v="0"/>
    <s v="Wrap Bag"/>
    <x v="0"/>
    <d v="2014-02-16T00:00:00"/>
    <n v="1.1499999999999999"/>
    <n v="2.67"/>
    <n v="1.52"/>
    <n v="19"/>
    <n v="50.73"/>
    <n v="0.03"/>
    <n v="1.5218999999999998"/>
    <n v="49.208099999999995"/>
    <n v="0.86"/>
    <n v="50.068099999999994"/>
  </r>
  <r>
    <s v="5415-1"/>
    <d v="2014-02-15T00:00:00"/>
    <x v="1"/>
    <x v="204"/>
    <s v="53-55 Liverpool St,Sydney"/>
    <s v="Sydney"/>
    <x v="1"/>
    <x v="1"/>
    <x v="8"/>
    <x v="2"/>
    <x v="115"/>
    <x v="0"/>
    <s v="Wrap Bag"/>
    <x v="1"/>
    <d v="2014-02-20T00:00:00"/>
    <n v="1.57"/>
    <n v="3.28"/>
    <n v="1.7099999999999997"/>
    <n v="44"/>
    <n v="144.32"/>
    <n v="0"/>
    <n v="0"/>
    <n v="144.32"/>
    <n v="0.98"/>
    <n v="145.29999999999998"/>
  </r>
  <r>
    <s v="5416-1"/>
    <d v="2014-02-16T00:00:00"/>
    <x v="1"/>
    <x v="205"/>
    <s v="120 Hardware St,Melbourne"/>
    <s v="Melbourne"/>
    <x v="0"/>
    <x v="1"/>
    <x v="0"/>
    <x v="0"/>
    <x v="30"/>
    <x v="1"/>
    <s v="Medium Box"/>
    <x v="0"/>
    <d v="2014-02-18T00:00:00"/>
    <n v="8.82"/>
    <n v="20.99"/>
    <n v="12.169999999999998"/>
    <n v="24"/>
    <n v="503.76"/>
    <n v="0.01"/>
    <n v="5.0376000000000003"/>
    <n v="498.72239999999999"/>
    <n v="4.8099999999999996"/>
    <n v="503.5324"/>
  </r>
  <r>
    <s v="5418-1"/>
    <d v="2014-02-22T00:00:00"/>
    <x v="1"/>
    <x v="138"/>
    <s v="101/12 Victoria Ave, Perth"/>
    <s v="Sydney"/>
    <x v="1"/>
    <x v="1"/>
    <x v="9"/>
    <x v="1"/>
    <x v="116"/>
    <x v="0"/>
    <s v="Small Pack"/>
    <x v="0"/>
    <d v="2014-02-23T00:00:00"/>
    <n v="4.1900000000000004"/>
    <n v="10.23"/>
    <n v="6.04"/>
    <n v="9"/>
    <n v="92.070000000000007"/>
    <n v="7.0000000000000007E-2"/>
    <n v="6.4449000000000014"/>
    <n v="85.625100000000003"/>
    <n v="4.68"/>
    <n v="90.30510000000001"/>
  </r>
  <r>
    <s v="5420-1"/>
    <d v="2014-02-22T00:00:00"/>
    <x v="1"/>
    <x v="206"/>
    <s v="541 Church St,Richmond"/>
    <s v="Melbourne"/>
    <x v="0"/>
    <x v="2"/>
    <x v="0"/>
    <x v="0"/>
    <x v="81"/>
    <x v="0"/>
    <s v="Wrap Bag"/>
    <x v="0"/>
    <d v="2014-02-23T00:00:00"/>
    <n v="0.93"/>
    <n v="1.48"/>
    <n v="0.54999999999999993"/>
    <n v="46"/>
    <n v="68.08"/>
    <n v="0"/>
    <n v="0"/>
    <n v="68.08"/>
    <n v="0.7"/>
    <n v="68.78"/>
  </r>
  <r>
    <s v="5421-1"/>
    <d v="2014-02-22T00:00:00"/>
    <x v="1"/>
    <x v="121"/>
    <s v="98 Holdsworth Street,Woollahra"/>
    <s v="Sydney"/>
    <x v="1"/>
    <x v="1"/>
    <x v="5"/>
    <x v="0"/>
    <x v="60"/>
    <x v="0"/>
    <s v="Small Box"/>
    <x v="0"/>
    <d v="2014-02-23T00:00:00"/>
    <n v="21.56"/>
    <n v="35.94"/>
    <n v="14.379999999999999"/>
    <n v="13"/>
    <n v="467.21999999999997"/>
    <n v="0.03"/>
    <n v="14.016599999999999"/>
    <n v="453.20339999999999"/>
    <n v="6.66"/>
    <n v="459.86340000000001"/>
  </r>
  <r>
    <s v="5423-1"/>
    <d v="2014-02-23T00:00:00"/>
    <x v="1"/>
    <x v="207"/>
    <s v="221 Barkly St,St Kilda"/>
    <s v="Melbourne"/>
    <x v="0"/>
    <x v="3"/>
    <x v="0"/>
    <x v="4"/>
    <x v="88"/>
    <x v="1"/>
    <s v="Small Box"/>
    <x v="0"/>
    <d v="2014-02-26T00:00:00"/>
    <n v="42.11"/>
    <n v="80.98"/>
    <n v="38.870000000000005"/>
    <n v="45"/>
    <n v="3644.1000000000004"/>
    <n v="0"/>
    <n v="0"/>
    <n v="3644.1000000000004"/>
    <n v="7.18"/>
    <n v="3651.28"/>
  </r>
  <r>
    <s v="5424-1"/>
    <d v="2014-02-24T00:00:00"/>
    <x v="1"/>
    <x v="208"/>
    <s v="73 MacLeay St,Potts Point"/>
    <s v="Sydney"/>
    <x v="1"/>
    <x v="3"/>
    <x v="5"/>
    <x v="1"/>
    <x v="61"/>
    <x v="0"/>
    <s v="Small Box"/>
    <x v="0"/>
    <d v="2014-02-25T00:00:00"/>
    <n v="2.74"/>
    <n v="4.49"/>
    <n v="1.75"/>
    <n v="6"/>
    <n v="26.94"/>
    <n v="0.03"/>
    <n v="0.80820000000000003"/>
    <n v="26.131800000000002"/>
    <n v="1.49"/>
    <n v="27.6218"/>
  </r>
  <r>
    <s v="5426-1"/>
    <d v="2014-02-24T00:00:00"/>
    <x v="1"/>
    <x v="209"/>
    <s v="501 George St,Sydney"/>
    <s v="Sydney"/>
    <x v="1"/>
    <x v="3"/>
    <x v="6"/>
    <x v="3"/>
    <x v="20"/>
    <x v="0"/>
    <s v="Wrap Bag"/>
    <x v="0"/>
    <d v="2014-02-26T00:00:00"/>
    <n v="2.52"/>
    <n v="4"/>
    <n v="1.48"/>
    <n v="33"/>
    <n v="132"/>
    <n v="0.08"/>
    <n v="10.56"/>
    <n v="121.44"/>
    <n v="1.3"/>
    <n v="122.74"/>
  </r>
  <r>
    <s v="5428-1"/>
    <d v="2014-02-25T00:00:00"/>
    <x v="1"/>
    <x v="210"/>
    <s v="37/59 Brewer Street, Perth"/>
    <s v="Melbourne"/>
    <x v="0"/>
    <x v="3"/>
    <x v="1"/>
    <x v="3"/>
    <x v="115"/>
    <x v="0"/>
    <s v="Wrap Bag"/>
    <x v="0"/>
    <d v="2014-02-26T00:00:00"/>
    <n v="1.57"/>
    <n v="3.28"/>
    <n v="1.7099999999999997"/>
    <n v="26"/>
    <n v="85.28"/>
    <n v="0.08"/>
    <n v="6.8224"/>
    <n v="78.457599999999999"/>
    <n v="0.98"/>
    <n v="79.437600000000003"/>
  </r>
  <r>
    <s v="5430-1"/>
    <d v="2014-02-25T00:00:00"/>
    <x v="1"/>
    <x v="167"/>
    <s v="60 York St,Sydney"/>
    <s v="Sydney"/>
    <x v="1"/>
    <x v="0"/>
    <x v="10"/>
    <x v="1"/>
    <x v="28"/>
    <x v="0"/>
    <s v="Wrap Bag"/>
    <x v="0"/>
    <d v="2014-02-27T00:00:00"/>
    <n v="3.47"/>
    <n v="6.68"/>
    <n v="3.2099999999999995"/>
    <n v="33"/>
    <n v="220.44"/>
    <n v="0.03"/>
    <n v="6.6132"/>
    <n v="213.82679999999999"/>
    <n v="1.5"/>
    <n v="215.32679999999999"/>
  </r>
  <r>
    <s v="5432-1"/>
    <d v="2014-02-28T00:00:00"/>
    <x v="1"/>
    <x v="211"/>
    <s v="4A Lyons St,Strathfield"/>
    <s v="Sydney"/>
    <x v="1"/>
    <x v="3"/>
    <x v="8"/>
    <x v="4"/>
    <x v="4"/>
    <x v="0"/>
    <s v="Wrap Bag"/>
    <x v="0"/>
    <d v="2014-03-01T00:00:00"/>
    <n v="0.9"/>
    <n v="2.1"/>
    <n v="1.2000000000000002"/>
    <n v="21"/>
    <n v="44.1"/>
    <n v="0.04"/>
    <n v="1.764"/>
    <n v="42.335999999999999"/>
    <n v="0.7"/>
    <n v="43.036000000000001"/>
  </r>
  <r>
    <s v="5433-1"/>
    <d v="2014-03-02T00:00:00"/>
    <x v="1"/>
    <x v="212"/>
    <s v="2a/285A Crown St,Surry Hills"/>
    <s v="Sydney"/>
    <x v="1"/>
    <x v="0"/>
    <x v="4"/>
    <x v="4"/>
    <x v="79"/>
    <x v="0"/>
    <s v="Small Box"/>
    <x v="0"/>
    <d v="2014-03-03T00:00:00"/>
    <n v="18.38"/>
    <n v="29.17"/>
    <n v="10.790000000000003"/>
    <n v="1"/>
    <n v="29.17"/>
    <n v="0.02"/>
    <n v="0.58340000000000003"/>
    <n v="28.586600000000001"/>
    <n v="6.27"/>
    <n v="34.8566"/>
  </r>
  <r>
    <s v="5434-1"/>
    <d v="2014-03-06T00:00:00"/>
    <x v="1"/>
    <x v="213"/>
    <s v="8 Rankins Lane ,Melbourne"/>
    <s v="Melbourne"/>
    <x v="0"/>
    <x v="3"/>
    <x v="1"/>
    <x v="1"/>
    <x v="71"/>
    <x v="0"/>
    <s v="Small Box"/>
    <x v="0"/>
    <d v="2014-03-07T00:00:00"/>
    <n v="4.46"/>
    <n v="10.89"/>
    <n v="6.4300000000000006"/>
    <n v="32"/>
    <n v="348.48"/>
    <n v="0.1"/>
    <n v="34.848000000000006"/>
    <n v="313.63200000000001"/>
    <n v="4.5"/>
    <n v="318.13200000000001"/>
  </r>
  <r>
    <s v="5435-1"/>
    <d v="2014-03-10T00:00:00"/>
    <x v="1"/>
    <x v="214"/>
    <s v="2a/285A Crown St,Surry Hills"/>
    <s v="Sydney"/>
    <x v="1"/>
    <x v="1"/>
    <x v="4"/>
    <x v="3"/>
    <x v="73"/>
    <x v="0"/>
    <s v="Small Box"/>
    <x v="0"/>
    <d v="2014-03-11T00:00:00"/>
    <n v="1.94"/>
    <n v="3.08"/>
    <n v="1.1400000000000001"/>
    <n v="1"/>
    <n v="3.08"/>
    <n v="0.08"/>
    <n v="0.24640000000000001"/>
    <n v="2.8336000000000001"/>
    <n v="0.99"/>
    <n v="3.8235999999999999"/>
  </r>
  <r>
    <s v="5436-1"/>
    <d v="2014-03-11T00:00:00"/>
    <x v="1"/>
    <x v="55"/>
    <s v="260 Marrickville Rd,Marrickville"/>
    <s v="Sydney"/>
    <x v="1"/>
    <x v="1"/>
    <x v="3"/>
    <x v="4"/>
    <x v="117"/>
    <x v="0"/>
    <s v="Small Box"/>
    <x v="0"/>
    <d v="2014-03-12T00:00:00"/>
    <n v="52.04"/>
    <n v="83.93"/>
    <n v="31.890000000000008"/>
    <n v="50"/>
    <n v="4196.5"/>
    <n v="0.1"/>
    <n v="419.65000000000003"/>
    <n v="3776.85"/>
    <n v="19.989999999999998"/>
    <n v="3796.8399999999997"/>
  </r>
  <r>
    <s v="5438-1"/>
    <d v="2014-03-12T00:00:00"/>
    <x v="1"/>
    <x v="215"/>
    <s v="1/20 Pendal Lane"/>
    <s v="Perth"/>
    <x v="2"/>
    <x v="0"/>
    <x v="5"/>
    <x v="0"/>
    <x v="46"/>
    <x v="1"/>
    <s v="Small Box"/>
    <x v="1"/>
    <d v="2014-03-13T00:00:00"/>
    <n v="60.59"/>
    <n v="100.98"/>
    <n v="40.39"/>
    <n v="5"/>
    <n v="504.90000000000003"/>
    <n v="0.02"/>
    <n v="10.098000000000001"/>
    <n v="494.80200000000002"/>
    <n v="7.18"/>
    <n v="501.98200000000003"/>
  </r>
  <r>
    <s v="5439-1"/>
    <d v="2014-03-13T00:00:00"/>
    <x v="1"/>
    <x v="200"/>
    <s v="412 Brunswick St,Fitzroy"/>
    <s v="Melbourne"/>
    <x v="0"/>
    <x v="1"/>
    <x v="1"/>
    <x v="2"/>
    <x v="35"/>
    <x v="0"/>
    <s v="Wrap Bag"/>
    <x v="0"/>
    <d v="2014-03-13T00:00:00"/>
    <n v="3.75"/>
    <n v="7.08"/>
    <n v="3.33"/>
    <n v="34"/>
    <n v="240.72"/>
    <n v="0.03"/>
    <n v="7.2215999999999996"/>
    <n v="233.4984"/>
    <n v="2.35"/>
    <n v="235.8484"/>
  </r>
  <r>
    <s v="5440-1"/>
    <d v="2014-03-15T00:00:00"/>
    <x v="1"/>
    <x v="8"/>
    <s v="273 George Street,Sydney"/>
    <s v="Sydney"/>
    <x v="1"/>
    <x v="3"/>
    <x v="2"/>
    <x v="1"/>
    <x v="80"/>
    <x v="0"/>
    <s v="Small Box"/>
    <x v="0"/>
    <d v="2014-03-15T00:00:00"/>
    <n v="3.5"/>
    <n v="5.74"/>
    <n v="2.2400000000000002"/>
    <n v="45"/>
    <n v="258.3"/>
    <n v="0"/>
    <n v="0"/>
    <n v="258.3"/>
    <n v="5.01"/>
    <n v="263.31"/>
  </r>
  <r>
    <s v="5442-1"/>
    <d v="2014-03-17T00:00:00"/>
    <x v="1"/>
    <x v="216"/>
    <s v="3/219 Canley Vale Road,Canley Heights"/>
    <s v="Sydney"/>
    <x v="1"/>
    <x v="0"/>
    <x v="11"/>
    <x v="1"/>
    <x v="5"/>
    <x v="0"/>
    <s v="Wrap Bag"/>
    <x v="0"/>
    <d v="2014-03-18T00:00:00"/>
    <n v="1.0900000000000001"/>
    <n v="2.6"/>
    <n v="1.51"/>
    <n v="43"/>
    <n v="111.8"/>
    <n v="0.01"/>
    <n v="1.1180000000000001"/>
    <n v="110.682"/>
    <n v="2.4"/>
    <n v="113.08200000000001"/>
  </r>
  <r>
    <s v="5444-1"/>
    <d v="2014-03-17T00:00:00"/>
    <x v="1"/>
    <x v="217"/>
    <s v="1/173-179 Bronte Rd,Waverley"/>
    <s v="Sydney"/>
    <x v="1"/>
    <x v="1"/>
    <x v="2"/>
    <x v="3"/>
    <x v="45"/>
    <x v="0"/>
    <s v="Small Box"/>
    <x v="0"/>
    <d v="2014-03-18T00:00:00"/>
    <n v="8.92"/>
    <n v="29.74"/>
    <n v="20.82"/>
    <n v="25"/>
    <n v="743.5"/>
    <n v="0"/>
    <n v="0"/>
    <n v="743.5"/>
    <n v="6.64"/>
    <n v="750.14"/>
  </r>
  <r>
    <s v="5445-1"/>
    <d v="2014-03-17T00:00:00"/>
    <x v="1"/>
    <x v="218"/>
    <s v="499-501 Lygon Street,Carlton North"/>
    <s v="Melbourne"/>
    <x v="0"/>
    <x v="3"/>
    <x v="0"/>
    <x v="3"/>
    <x v="118"/>
    <x v="0"/>
    <s v="Small Box"/>
    <x v="0"/>
    <d v="2014-03-18T00:00:00"/>
    <n v="21.97"/>
    <n v="35.44"/>
    <n v="13.469999999999999"/>
    <n v="21"/>
    <n v="744.24"/>
    <n v="0"/>
    <n v="0"/>
    <n v="744.24"/>
    <n v="4.92"/>
    <n v="749.16"/>
  </r>
  <r>
    <s v="5446-1"/>
    <d v="2014-03-19T00:00:00"/>
    <x v="1"/>
    <x v="219"/>
    <s v="506 Swan Street,Richmond"/>
    <s v="Melbourne"/>
    <x v="0"/>
    <x v="3"/>
    <x v="1"/>
    <x v="1"/>
    <x v="77"/>
    <x v="0"/>
    <s v="Small Box"/>
    <x v="0"/>
    <d v="2014-03-21T00:00:00"/>
    <n v="2.2599999999999998"/>
    <n v="3.58"/>
    <n v="1.3200000000000003"/>
    <n v="39"/>
    <n v="139.62"/>
    <n v="0"/>
    <n v="0"/>
    <n v="139.62"/>
    <n v="5.47"/>
    <n v="145.09"/>
  </r>
  <r>
    <s v="5448-1"/>
    <d v="2014-03-21T00:00:00"/>
    <x v="1"/>
    <x v="220"/>
    <s v="163 Concord Road,North Strathfield"/>
    <s v="Sydney"/>
    <x v="1"/>
    <x v="0"/>
    <x v="10"/>
    <x v="2"/>
    <x v="73"/>
    <x v="0"/>
    <s v="Small Box"/>
    <x v="0"/>
    <d v="2014-03-26T00:00:00"/>
    <n v="1.94"/>
    <n v="3.08"/>
    <n v="1.1400000000000001"/>
    <n v="5"/>
    <n v="15.4"/>
    <n v="0.06"/>
    <n v="0.92399999999999993"/>
    <n v="14.476000000000001"/>
    <n v="0.99"/>
    <n v="15.466000000000001"/>
  </r>
  <r>
    <s v="5449-1"/>
    <d v="2014-03-28T00:00:00"/>
    <x v="1"/>
    <x v="181"/>
    <s v="85-113 Dunning Ave,Rosebery"/>
    <s v="Sydney"/>
    <x v="1"/>
    <x v="3"/>
    <x v="11"/>
    <x v="0"/>
    <x v="95"/>
    <x v="0"/>
    <s v="Small Box"/>
    <x v="0"/>
    <d v="2014-03-28T00:00:00"/>
    <n v="11.04"/>
    <n v="16.98"/>
    <n v="5.9400000000000013"/>
    <n v="31"/>
    <n v="526.38"/>
    <n v="0.03"/>
    <n v="15.791399999999999"/>
    <n v="510.58859999999999"/>
    <n v="12.39"/>
    <n v="522.97860000000003"/>
  </r>
  <r>
    <s v="5450-1"/>
    <d v="2014-03-29T00:00:00"/>
    <x v="1"/>
    <x v="221"/>
    <s v="5/63-71 Enmore Rd,Newtown"/>
    <s v="Sydney"/>
    <x v="1"/>
    <x v="2"/>
    <x v="10"/>
    <x v="3"/>
    <x v="94"/>
    <x v="0"/>
    <s v="Small Box"/>
    <x v="0"/>
    <d v="2014-03-30T00:00:00"/>
    <n v="4.53"/>
    <n v="7.3"/>
    <n v="2.7699999999999996"/>
    <n v="18"/>
    <n v="131.4"/>
    <n v="0.05"/>
    <n v="6.57"/>
    <n v="124.83000000000001"/>
    <n v="7.72"/>
    <n v="132.55000000000001"/>
  </r>
  <r>
    <s v="5451-1"/>
    <d v="2014-03-31T00:00:00"/>
    <x v="1"/>
    <x v="222"/>
    <s v="Westfield 1 Anderson St,Chatswood"/>
    <s v="Sydney"/>
    <x v="1"/>
    <x v="0"/>
    <x v="3"/>
    <x v="3"/>
    <x v="62"/>
    <x v="0"/>
    <s v="Wrap Bag"/>
    <x v="0"/>
    <d v="2014-03-31T00:00:00"/>
    <n v="4.37"/>
    <n v="9.11"/>
    <n v="4.7399999999999993"/>
    <n v="1"/>
    <n v="9.11"/>
    <n v="0.1"/>
    <n v="0.91100000000000003"/>
    <n v="8.1989999999999998"/>
    <n v="2.25"/>
    <n v="10.449"/>
  </r>
  <r>
    <s v="5453-1"/>
    <d v="2014-04-01T00:00:00"/>
    <x v="1"/>
    <x v="182"/>
    <s v="101 Murray Street, Perth"/>
    <s v="Sydney"/>
    <x v="1"/>
    <x v="2"/>
    <x v="9"/>
    <x v="1"/>
    <x v="96"/>
    <x v="0"/>
    <s v="Small Pack"/>
    <x v="0"/>
    <d v="2014-04-02T00:00:00"/>
    <n v="16.8"/>
    <n v="40.97"/>
    <n v="24.169999999999998"/>
    <n v="44"/>
    <n v="1802.6799999999998"/>
    <n v="0.08"/>
    <n v="144.21439999999998"/>
    <n v="1658.4655999999998"/>
    <n v="8.99"/>
    <n v="1667.4555999999998"/>
  </r>
  <r>
    <s v="5455-1"/>
    <d v="2014-04-02T00:00:00"/>
    <x v="1"/>
    <x v="26"/>
    <s v="8 Rankins Lane ,Melbourne"/>
    <s v="Melbourne"/>
    <x v="0"/>
    <x v="1"/>
    <x v="1"/>
    <x v="4"/>
    <x v="119"/>
    <x v="0"/>
    <s v="Small Box"/>
    <x v="0"/>
    <d v="2014-04-04T00:00:00"/>
    <n v="7.13"/>
    <n v="20.98"/>
    <n v="13.850000000000001"/>
    <n v="39"/>
    <n v="818.22"/>
    <n v="0.04"/>
    <n v="32.7288"/>
    <n v="785.49120000000005"/>
    <n v="5.42"/>
    <n v="790.91120000000001"/>
  </r>
  <r>
    <s v="5456-1"/>
    <d v="2014-04-02T00:00:00"/>
    <x v="1"/>
    <x v="223"/>
    <s v="1/50-58 Hunter St,Sydney"/>
    <s v="Sydney"/>
    <x v="1"/>
    <x v="2"/>
    <x v="12"/>
    <x v="1"/>
    <x v="78"/>
    <x v="0"/>
    <s v="Small Pack"/>
    <x v="0"/>
    <d v="2014-04-04T00:00:00"/>
    <n v="1.46"/>
    <n v="3.57"/>
    <n v="2.11"/>
    <n v="41"/>
    <n v="146.37"/>
    <n v="0.03"/>
    <n v="4.3910999999999998"/>
    <n v="141.97890000000001"/>
    <n v="4.17"/>
    <n v="146.1489"/>
  </r>
  <r>
    <s v="5457-1"/>
    <d v="2014-04-03T00:00:00"/>
    <x v="1"/>
    <x v="96"/>
    <s v="73 Lindsay Street, Perth"/>
    <s v="Sydney"/>
    <x v="1"/>
    <x v="2"/>
    <x v="13"/>
    <x v="4"/>
    <x v="120"/>
    <x v="0"/>
    <s v="Wrap Bag"/>
    <x v="0"/>
    <d v="2014-04-05T00:00:00"/>
    <n v="2.13"/>
    <n v="3.49"/>
    <n v="1.3600000000000003"/>
    <n v="46"/>
    <n v="160.54000000000002"/>
    <n v="0.01"/>
    <n v="1.6054000000000002"/>
    <n v="158.93460000000002"/>
    <n v="0.76"/>
    <n v="159.69460000000001"/>
  </r>
  <r>
    <s v="5458-1"/>
    <d v="2014-04-04T00:00:00"/>
    <x v="1"/>
    <x v="93"/>
    <s v="60 Commercial Rd,Prahran"/>
    <s v="Melbourne"/>
    <x v="0"/>
    <x v="3"/>
    <x v="0"/>
    <x v="3"/>
    <x v="40"/>
    <x v="0"/>
    <s v="Small Box"/>
    <x v="0"/>
    <d v="2014-04-05T00:00:00"/>
    <n v="3.84"/>
    <n v="6.3"/>
    <n v="2.46"/>
    <n v="18"/>
    <n v="113.39999999999999"/>
    <n v="0.1"/>
    <n v="11.34"/>
    <n v="102.05999999999999"/>
    <n v="0.5"/>
    <n v="102.55999999999999"/>
  </r>
  <r>
    <s v="5460-1"/>
    <d v="2014-04-06T00:00:00"/>
    <x v="1"/>
    <x v="224"/>
    <s v="1/50-58 Hunter St,Sydney"/>
    <s v="Sydney"/>
    <x v="1"/>
    <x v="1"/>
    <x v="12"/>
    <x v="2"/>
    <x v="121"/>
    <x v="0"/>
    <s v="Wrap Bag"/>
    <x v="0"/>
    <d v="2014-04-11T00:00:00"/>
    <n v="1.05"/>
    <n v="1.95"/>
    <n v="0.89999999999999991"/>
    <n v="31"/>
    <n v="60.449999999999996"/>
    <n v="0.02"/>
    <n v="1.2089999999999999"/>
    <n v="59.240999999999993"/>
    <n v="1.63"/>
    <n v="60.870999999999995"/>
  </r>
  <r>
    <s v="5461-1"/>
    <d v="2014-04-07T00:00:00"/>
    <x v="1"/>
    <x v="225"/>
    <s v="99 Lygon Street,East Brunswick"/>
    <s v="Melbourne"/>
    <x v="0"/>
    <x v="1"/>
    <x v="1"/>
    <x v="1"/>
    <x v="65"/>
    <x v="0"/>
    <s v="Wrap Bag"/>
    <x v="0"/>
    <d v="2014-04-07T00:00:00"/>
    <n v="0.24"/>
    <n v="1.26"/>
    <n v="1.02"/>
    <n v="35"/>
    <n v="44.1"/>
    <n v="0.09"/>
    <n v="3.9689999999999999"/>
    <n v="40.131"/>
    <n v="0.7"/>
    <n v="40.831000000000003"/>
  </r>
  <r>
    <s v="5463-1"/>
    <d v="2014-04-07T00:00:00"/>
    <x v="1"/>
    <x v="134"/>
    <s v="5/63-71 Enmore Rd,Newtown"/>
    <s v="Sydney"/>
    <x v="1"/>
    <x v="0"/>
    <x v="10"/>
    <x v="3"/>
    <x v="122"/>
    <x v="1"/>
    <s v="Jumbo Drum"/>
    <x v="2"/>
    <d v="2014-04-07T00:00:00"/>
    <n v="315.61"/>
    <n v="500.97"/>
    <n v="185.36"/>
    <n v="31"/>
    <n v="15530.070000000002"/>
    <n v="0.06"/>
    <n v="931.80420000000004"/>
    <n v="14598.265800000001"/>
    <n v="69.3"/>
    <n v="14667.5658"/>
  </r>
  <r>
    <s v="5465-1"/>
    <d v="2014-04-07T00:00:00"/>
    <x v="1"/>
    <x v="226"/>
    <s v="53-55 Liverpool St,Sydney"/>
    <s v="Sydney"/>
    <x v="1"/>
    <x v="1"/>
    <x v="8"/>
    <x v="4"/>
    <x v="110"/>
    <x v="1"/>
    <s v="Large Box"/>
    <x v="0"/>
    <d v="2014-04-09T00:00:00"/>
    <n v="377.99"/>
    <n v="599.99"/>
    <n v="222"/>
    <n v="30"/>
    <n v="17999.7"/>
    <n v="0.09"/>
    <n v="1619.973"/>
    <n v="16379.727000000001"/>
    <n v="24.49"/>
    <n v="16404.217000000001"/>
  </r>
  <r>
    <s v="5467-1"/>
    <d v="2014-04-11T00:00:00"/>
    <x v="1"/>
    <x v="227"/>
    <s v="73 York St,Sydney"/>
    <s v="Sydney"/>
    <x v="1"/>
    <x v="3"/>
    <x v="8"/>
    <x v="4"/>
    <x v="5"/>
    <x v="0"/>
    <s v="Wrap Bag"/>
    <x v="0"/>
    <d v="2014-04-12T00:00:00"/>
    <n v="1.0900000000000001"/>
    <n v="2.6"/>
    <n v="1.51"/>
    <n v="2"/>
    <n v="5.2"/>
    <n v="0.03"/>
    <n v="0.156"/>
    <n v="5.0440000000000005"/>
    <n v="2.4"/>
    <n v="7.4440000000000008"/>
  </r>
  <r>
    <s v="5469-1"/>
    <d v="2014-04-15T00:00:00"/>
    <x v="1"/>
    <x v="228"/>
    <s v="98-104 Parramatta Rd,Camperdown"/>
    <s v="Sydney"/>
    <x v="1"/>
    <x v="1"/>
    <x v="4"/>
    <x v="0"/>
    <x v="68"/>
    <x v="1"/>
    <s v="Small Box"/>
    <x v="0"/>
    <d v="2014-04-16T00:00:00"/>
    <n v="6.51"/>
    <n v="30.98"/>
    <n v="24.47"/>
    <n v="36"/>
    <n v="1115.28"/>
    <n v="0"/>
    <n v="0"/>
    <n v="1115.28"/>
    <n v="6.5"/>
    <n v="1121.78"/>
  </r>
  <r>
    <s v="5470-1"/>
    <d v="2014-04-17T00:00:00"/>
    <x v="1"/>
    <x v="229"/>
    <s v="499-501 Lygon Street,Carlton North"/>
    <s v="Melbourne"/>
    <x v="0"/>
    <x v="2"/>
    <x v="0"/>
    <x v="0"/>
    <x v="14"/>
    <x v="0"/>
    <s v="Small Box"/>
    <x v="0"/>
    <d v="2014-04-19T00:00:00"/>
    <n v="4.59"/>
    <n v="7.28"/>
    <n v="2.6900000000000004"/>
    <n v="11"/>
    <n v="80.08"/>
    <n v="7.0000000000000007E-2"/>
    <n v="5.6056000000000008"/>
    <n v="74.474400000000003"/>
    <n v="11.15"/>
    <n v="85.624400000000009"/>
  </r>
  <r>
    <s v="5471-1"/>
    <d v="2014-04-17T00:00:00"/>
    <x v="1"/>
    <x v="230"/>
    <s v="222 Barkly St,St Kilda"/>
    <s v="Melbourne"/>
    <x v="0"/>
    <x v="0"/>
    <x v="0"/>
    <x v="4"/>
    <x v="116"/>
    <x v="0"/>
    <s v="Small Pack"/>
    <x v="0"/>
    <d v="2014-04-18T00:00:00"/>
    <n v="4.1900000000000004"/>
    <n v="10.23"/>
    <n v="6.04"/>
    <n v="22"/>
    <n v="225.06"/>
    <n v="7.0000000000000007E-2"/>
    <n v="15.754200000000001"/>
    <n v="209.3058"/>
    <n v="4.68"/>
    <n v="213.98580000000001"/>
  </r>
  <r>
    <s v="5473-1"/>
    <d v="2014-04-17T00:00:00"/>
    <x v="1"/>
    <x v="231"/>
    <s v="32 Wellington Street, Perth"/>
    <s v="Sydney"/>
    <x v="1"/>
    <x v="3"/>
    <x v="7"/>
    <x v="1"/>
    <x v="13"/>
    <x v="0"/>
    <s v="Small Pack"/>
    <x v="1"/>
    <d v="2014-04-18T00:00:00"/>
    <n v="3.42"/>
    <n v="8.34"/>
    <n v="4.92"/>
    <n v="16"/>
    <n v="133.44"/>
    <n v="0.04"/>
    <n v="5.3376000000000001"/>
    <n v="128.10239999999999"/>
    <n v="2.64"/>
    <n v="130.74239999999998"/>
  </r>
  <r>
    <s v="5475-1"/>
    <d v="2014-05-02T00:00:00"/>
    <x v="1"/>
    <x v="232"/>
    <s v="88 Oxford St,Woollahra"/>
    <s v="Sydney"/>
    <x v="1"/>
    <x v="2"/>
    <x v="10"/>
    <x v="2"/>
    <x v="123"/>
    <x v="0"/>
    <s v="Small Box"/>
    <x v="0"/>
    <d v="2014-05-04T00:00:00"/>
    <n v="84.22"/>
    <n v="210.55"/>
    <n v="126.33000000000001"/>
    <n v="32"/>
    <n v="6737.6"/>
    <n v="0.1"/>
    <n v="673.7600000000001"/>
    <n v="6063.84"/>
    <n v="9.99"/>
    <n v="6073.83"/>
  </r>
  <r>
    <s v="5476-1"/>
    <d v="2014-05-02T00:00:00"/>
    <x v="1"/>
    <x v="233"/>
    <s v="85-113 Dunning Ave,Roseberry"/>
    <s v="Sydney"/>
    <x v="1"/>
    <x v="1"/>
    <x v="11"/>
    <x v="3"/>
    <x v="119"/>
    <x v="0"/>
    <s v="Small Box"/>
    <x v="1"/>
    <d v="2014-05-03T00:00:00"/>
    <n v="7.13"/>
    <n v="20.98"/>
    <n v="13.850000000000001"/>
    <n v="14"/>
    <n v="293.72000000000003"/>
    <n v="0.1"/>
    <n v="29.372000000000003"/>
    <n v="264.34800000000001"/>
    <n v="5.42"/>
    <n v="269.76800000000003"/>
  </r>
  <r>
    <s v="5477-1"/>
    <d v="2014-05-02T00:00:00"/>
    <x v="1"/>
    <x v="234"/>
    <s v="152 Bunnerong Road,Eastgardens"/>
    <s v="Sydney"/>
    <x v="1"/>
    <x v="0"/>
    <x v="8"/>
    <x v="1"/>
    <x v="42"/>
    <x v="0"/>
    <s v="Wrap Bag"/>
    <x v="0"/>
    <d v="2014-05-03T00:00:00"/>
    <n v="2.29"/>
    <n v="3.58"/>
    <n v="1.29"/>
    <n v="15"/>
    <n v="53.7"/>
    <n v="0.05"/>
    <n v="2.6850000000000005"/>
    <n v="51.015000000000001"/>
    <n v="1.63"/>
    <n v="52.645000000000003"/>
  </r>
  <r>
    <s v="5478-1"/>
    <d v="2014-05-03T00:00:00"/>
    <x v="1"/>
    <x v="105"/>
    <s v="60 Commercial Rd,Prahran"/>
    <s v="Melbourne"/>
    <x v="0"/>
    <x v="0"/>
    <x v="0"/>
    <x v="2"/>
    <x v="64"/>
    <x v="0"/>
    <s v="Wrap Bag"/>
    <x v="0"/>
    <d v="2014-05-07T00:00:00"/>
    <n v="1.31"/>
    <n v="2.84"/>
    <n v="1.5299999999999998"/>
    <n v="48"/>
    <n v="136.32"/>
    <n v="0.1"/>
    <n v="13.632"/>
    <n v="122.68799999999999"/>
    <n v="0.93"/>
    <n v="123.61799999999999"/>
  </r>
  <r>
    <s v="5479-1"/>
    <d v="2014-05-06T00:00:00"/>
    <x v="1"/>
    <x v="235"/>
    <s v="Hoyts Entertainment Quarter 122 Lang Road,Moore Park"/>
    <s v="Sydney"/>
    <x v="1"/>
    <x v="0"/>
    <x v="8"/>
    <x v="3"/>
    <x v="77"/>
    <x v="0"/>
    <s v="Small Box"/>
    <x v="0"/>
    <d v="2014-05-08T00:00:00"/>
    <n v="2.2599999999999998"/>
    <n v="3.58"/>
    <n v="1.3200000000000003"/>
    <n v="25"/>
    <n v="89.5"/>
    <n v="0"/>
    <n v="0"/>
    <n v="89.5"/>
    <n v="5.47"/>
    <n v="94.97"/>
  </r>
  <r>
    <s v="5479-2"/>
    <d v="2014-05-06T00:00:00"/>
    <x v="1"/>
    <x v="235"/>
    <s v="Hoyts Entertainment Quarter 122 Lang Road,Moore Park"/>
    <s v="Sydney"/>
    <x v="1"/>
    <x v="0"/>
    <x v="8"/>
    <x v="3"/>
    <x v="124"/>
    <x v="0"/>
    <s v="Wrap Bag"/>
    <x v="0"/>
    <d v="2014-05-08T00:00:00"/>
    <n v="0.87"/>
    <n v="1.81"/>
    <n v="0.94000000000000006"/>
    <n v="45"/>
    <n v="81.45"/>
    <n v="0.08"/>
    <n v="6.516"/>
    <n v="74.933999999999997"/>
    <n v="0.75"/>
    <n v="75.683999999999997"/>
  </r>
  <r>
    <s v="5483-1"/>
    <d v="2014-05-08T00:00:00"/>
    <x v="1"/>
    <x v="236"/>
    <s v="22 St Georges Terrace"/>
    <s v="Perth"/>
    <x v="2"/>
    <x v="1"/>
    <x v="5"/>
    <x v="2"/>
    <x v="81"/>
    <x v="0"/>
    <s v="Wrap Bag"/>
    <x v="0"/>
    <d v="2014-05-13T00:00:00"/>
    <n v="0.93"/>
    <n v="1.48"/>
    <n v="0.54999999999999993"/>
    <n v="33"/>
    <n v="48.839999999999996"/>
    <n v="7.0000000000000007E-2"/>
    <n v="3.4188000000000001"/>
    <n v="45.421199999999999"/>
    <n v="0.7"/>
    <n v="46.121200000000002"/>
  </r>
  <r>
    <s v="5485-1"/>
    <d v="2014-05-08T00:00:00"/>
    <x v="1"/>
    <x v="237"/>
    <s v="310 Wattle St,Ultimo"/>
    <s v="Sydney"/>
    <x v="1"/>
    <x v="1"/>
    <x v="9"/>
    <x v="2"/>
    <x v="56"/>
    <x v="0"/>
    <s v="Small Box"/>
    <x v="0"/>
    <d v="2014-05-12T00:00:00"/>
    <n v="1.33"/>
    <n v="2.08"/>
    <n v="0.75"/>
    <n v="40"/>
    <n v="83.2"/>
    <n v="0"/>
    <n v="0"/>
    <n v="83.2"/>
    <n v="1.49"/>
    <n v="84.69"/>
  </r>
  <r>
    <s v="5487-1"/>
    <d v="2014-05-09T00:00:00"/>
    <x v="1"/>
    <x v="238"/>
    <s v="222 Barkly St,St Kilda"/>
    <s v="Melbourne"/>
    <x v="0"/>
    <x v="1"/>
    <x v="0"/>
    <x v="1"/>
    <x v="84"/>
    <x v="2"/>
    <s v="Large Box"/>
    <x v="0"/>
    <d v="2014-05-10T00:00:00"/>
    <n v="56.16"/>
    <n v="136.97999999999999"/>
    <n v="80.819999999999993"/>
    <n v="44"/>
    <n v="6027.12"/>
    <n v="0.08"/>
    <n v="482.1696"/>
    <n v="5544.9503999999997"/>
    <n v="24.49"/>
    <n v="5569.4403999999995"/>
  </r>
  <r>
    <s v="5489-1"/>
    <d v="2014-05-11T00:00:00"/>
    <x v="1"/>
    <x v="73"/>
    <s v="508/130 Mounts Bay Road, Perth"/>
    <s v="Perth"/>
    <x v="2"/>
    <x v="1"/>
    <x v="8"/>
    <x v="4"/>
    <x v="98"/>
    <x v="0"/>
    <s v="Wrap Bag"/>
    <x v="0"/>
    <d v="2014-05-12T00:00:00"/>
    <n v="5.22"/>
    <n v="9.85"/>
    <n v="4.63"/>
    <n v="20"/>
    <n v="197"/>
    <n v="0.06"/>
    <n v="11.82"/>
    <n v="185.18"/>
    <n v="4.82"/>
    <n v="190"/>
  </r>
  <r>
    <s v="5491-1"/>
    <d v="2014-05-13T00:00:00"/>
    <x v="1"/>
    <x v="108"/>
    <s v="523 King St,Newtown"/>
    <s v="Sydney"/>
    <x v="1"/>
    <x v="0"/>
    <x v="9"/>
    <x v="3"/>
    <x v="125"/>
    <x v="0"/>
    <s v="Small Box"/>
    <x v="0"/>
    <d v="2014-05-14T00:00:00"/>
    <n v="2.76"/>
    <n v="4.38"/>
    <n v="1.62"/>
    <n v="29"/>
    <n v="127.02"/>
    <n v="0.08"/>
    <n v="10.1616"/>
    <n v="116.85839999999999"/>
    <n v="6.21"/>
    <n v="123.06839999999998"/>
  </r>
  <r>
    <s v="5493-1"/>
    <d v="2014-05-15T00:00:00"/>
    <x v="1"/>
    <x v="91"/>
    <s v="14 Money Street"/>
    <s v="Perth"/>
    <x v="2"/>
    <x v="2"/>
    <x v="4"/>
    <x v="4"/>
    <x v="73"/>
    <x v="0"/>
    <s v="Small Box"/>
    <x v="0"/>
    <d v="2014-05-16T00:00:00"/>
    <n v="1.94"/>
    <n v="3.08"/>
    <n v="1.1400000000000001"/>
    <n v="9"/>
    <n v="27.72"/>
    <n v="0.01"/>
    <n v="0.2772"/>
    <n v="27.442799999999998"/>
    <n v="0.99"/>
    <n v="28.432799999999997"/>
  </r>
  <r>
    <s v="5494-1"/>
    <d v="2014-05-17T00:00:00"/>
    <x v="1"/>
    <x v="61"/>
    <s v="501 George St,Sydney"/>
    <s v="Sydney"/>
    <x v="1"/>
    <x v="3"/>
    <x v="6"/>
    <x v="3"/>
    <x v="85"/>
    <x v="0"/>
    <s v="Small Pack"/>
    <x v="0"/>
    <d v="2014-05-18T00:00:00"/>
    <n v="5.19"/>
    <n v="12.98"/>
    <n v="7.79"/>
    <n v="20"/>
    <n v="259.60000000000002"/>
    <n v="0.04"/>
    <n v="10.384"/>
    <n v="249.21600000000001"/>
    <n v="3.14"/>
    <n v="252.35599999999999"/>
  </r>
  <r>
    <s v="5496-1"/>
    <d v="2014-05-19T00:00:00"/>
    <x v="1"/>
    <x v="239"/>
    <s v="506 Swan Street,Richmond"/>
    <s v="Melbourne"/>
    <x v="0"/>
    <x v="2"/>
    <x v="1"/>
    <x v="4"/>
    <x v="36"/>
    <x v="2"/>
    <s v="Small Pack"/>
    <x v="1"/>
    <d v="2014-05-20T00:00:00"/>
    <n v="5.5"/>
    <n v="12.22"/>
    <n v="6.7200000000000006"/>
    <n v="18"/>
    <n v="219.96"/>
    <n v="0.04"/>
    <n v="8.7984000000000009"/>
    <n v="211.16160000000002"/>
    <n v="2.85"/>
    <n v="214.01160000000002"/>
  </r>
  <r>
    <s v="5497-1"/>
    <d v="2014-05-19T00:00:00"/>
    <x v="1"/>
    <x v="240"/>
    <s v="2/797 Botany Rd,Rosebery"/>
    <s v="Sydney"/>
    <x v="1"/>
    <x v="1"/>
    <x v="6"/>
    <x v="2"/>
    <x v="108"/>
    <x v="0"/>
    <s v="Wrap Bag"/>
    <x v="1"/>
    <d v="2014-05-24T00:00:00"/>
    <n v="2.31"/>
    <n v="3.78"/>
    <n v="1.4699999999999998"/>
    <n v="15"/>
    <n v="56.699999999999996"/>
    <n v="0.03"/>
    <n v="1.7009999999999998"/>
    <n v="54.998999999999995"/>
    <n v="0.71"/>
    <n v="55.708999999999996"/>
  </r>
  <r>
    <s v="5498-1"/>
    <d v="2014-05-25T00:00:00"/>
    <x v="1"/>
    <x v="241"/>
    <s v="8 Khartoum Rd,Macquarie Park"/>
    <s v="Sydney"/>
    <x v="1"/>
    <x v="3"/>
    <x v="13"/>
    <x v="2"/>
    <x v="67"/>
    <x v="1"/>
    <s v="Jumbo Drum"/>
    <x v="2"/>
    <d v="2014-05-29T00:00:00"/>
    <n v="278.99"/>
    <n v="449.99"/>
    <n v="171"/>
    <n v="47"/>
    <n v="21149.53"/>
    <n v="0.1"/>
    <n v="2114.953"/>
    <n v="19034.576999999997"/>
    <n v="49"/>
    <n v="19083.576999999997"/>
  </r>
  <r>
    <s v="5500-1"/>
    <d v="2014-05-29T00:00:00"/>
    <x v="1"/>
    <x v="242"/>
    <s v="73 York St,Sydney"/>
    <s v="Sydney"/>
    <x v="1"/>
    <x v="1"/>
    <x v="8"/>
    <x v="2"/>
    <x v="24"/>
    <x v="1"/>
    <s v="Small Box"/>
    <x v="0"/>
    <d v="2014-06-02T00:00:00"/>
    <n v="32.020000000000003"/>
    <n v="152.47999999999999"/>
    <n v="120.45999999999998"/>
    <n v="49"/>
    <n v="7471.5199999999995"/>
    <n v="0.03"/>
    <n v="224.14559999999997"/>
    <n v="7247.3743999999997"/>
    <n v="4"/>
    <n v="7251.3743999999997"/>
  </r>
  <r>
    <s v="5502-1"/>
    <d v="2014-05-29T00:00:00"/>
    <x v="1"/>
    <x v="243"/>
    <s v="31 Wellington Street, Perth"/>
    <s v="Sydney"/>
    <x v="1"/>
    <x v="1"/>
    <x v="5"/>
    <x v="0"/>
    <x v="31"/>
    <x v="0"/>
    <s v="Small Box"/>
    <x v="0"/>
    <d v="2014-05-29T00:00:00"/>
    <n v="13.88"/>
    <n v="22.38"/>
    <n v="8.4999999999999982"/>
    <n v="26"/>
    <n v="581.88"/>
    <n v="7.0000000000000007E-2"/>
    <n v="40.7316"/>
    <n v="541.14840000000004"/>
    <n v="15.1"/>
    <n v="556.24840000000006"/>
  </r>
  <r>
    <s v="5504-1"/>
    <d v="2014-05-29T00:00:00"/>
    <x v="1"/>
    <x v="244"/>
    <s v="541 Church St,Richmond"/>
    <s v="Melbourne"/>
    <x v="0"/>
    <x v="1"/>
    <x v="0"/>
    <x v="4"/>
    <x v="26"/>
    <x v="0"/>
    <s v="Small Pack"/>
    <x v="0"/>
    <d v="2014-05-29T00:00:00"/>
    <n v="4.79"/>
    <n v="11.97"/>
    <n v="7.1800000000000006"/>
    <n v="46"/>
    <n v="550.62"/>
    <n v="7.0000000000000007E-2"/>
    <n v="38.543400000000005"/>
    <n v="512.07659999999998"/>
    <n v="5.81"/>
    <n v="517.88659999999993"/>
  </r>
  <r>
    <s v="5505-1"/>
    <d v="2014-06-02T00:00:00"/>
    <x v="1"/>
    <x v="245"/>
    <s v="14/76 Newcastle Street, Perth"/>
    <s v="Melbourne"/>
    <x v="0"/>
    <x v="1"/>
    <x v="1"/>
    <x v="1"/>
    <x v="30"/>
    <x v="1"/>
    <s v="Medium Box"/>
    <x v="0"/>
    <d v="2014-06-04T00:00:00"/>
    <n v="8.82"/>
    <n v="20.99"/>
    <n v="12.169999999999998"/>
    <n v="10"/>
    <n v="209.89999999999998"/>
    <n v="0"/>
    <n v="0"/>
    <n v="209.89999999999998"/>
    <n v="4.8099999999999996"/>
    <n v="214.70999999999998"/>
  </r>
  <r>
    <s v="5506-1"/>
    <d v="2014-06-03T00:00:00"/>
    <x v="1"/>
    <x v="150"/>
    <s v="163 Concord Road,North Strathfield"/>
    <s v="Sydney"/>
    <x v="1"/>
    <x v="1"/>
    <x v="10"/>
    <x v="3"/>
    <x v="126"/>
    <x v="0"/>
    <s v="Wrap Bag"/>
    <x v="0"/>
    <d v="2014-06-04T00:00:00"/>
    <n v="1.0900000000000001"/>
    <n v="1.82"/>
    <n v="0.73"/>
    <n v="40"/>
    <n v="72.8"/>
    <n v="0.1"/>
    <n v="7.28"/>
    <n v="65.52"/>
    <n v="1"/>
    <n v="66.52"/>
  </r>
  <r>
    <s v="5507-1"/>
    <d v="2014-06-03T00:00:00"/>
    <x v="1"/>
    <x v="246"/>
    <s v="33 Wellington Street"/>
    <s v="Perth"/>
    <x v="2"/>
    <x v="3"/>
    <x v="8"/>
    <x v="0"/>
    <x v="35"/>
    <x v="0"/>
    <s v="Wrap Bag"/>
    <x v="0"/>
    <d v="2014-06-05T00:00:00"/>
    <n v="3.75"/>
    <n v="7.08"/>
    <n v="3.33"/>
    <n v="45"/>
    <n v="318.60000000000002"/>
    <n v="0.06"/>
    <n v="19.116"/>
    <n v="299.48400000000004"/>
    <n v="2.35"/>
    <n v="301.83400000000006"/>
  </r>
  <r>
    <s v="5508-1"/>
    <d v="2014-06-04T00:00:00"/>
    <x v="1"/>
    <x v="136"/>
    <s v="24 Addison Rd,Marrickville"/>
    <s v="Sydney"/>
    <x v="1"/>
    <x v="2"/>
    <x v="13"/>
    <x v="0"/>
    <x v="50"/>
    <x v="0"/>
    <s v="Small Box"/>
    <x v="0"/>
    <d v="2014-06-05T00:00:00"/>
    <n v="178.83"/>
    <n v="415.88"/>
    <n v="237.04999999999998"/>
    <n v="43"/>
    <n v="17882.84"/>
    <n v="7.0000000000000007E-2"/>
    <n v="1251.7988"/>
    <n v="16631.0412"/>
    <n v="11.37"/>
    <n v="16642.411199999999"/>
  </r>
  <r>
    <s v="5510-1"/>
    <d v="2014-06-04T00:00:00"/>
    <x v="1"/>
    <x v="247"/>
    <s v="310 Wattle St,Ultimo"/>
    <s v="Sydney"/>
    <x v="1"/>
    <x v="3"/>
    <x v="9"/>
    <x v="3"/>
    <x v="41"/>
    <x v="1"/>
    <s v="Small Box"/>
    <x v="0"/>
    <d v="2014-06-05T00:00:00"/>
    <n v="156.5"/>
    <n v="300.97000000000003"/>
    <n v="144.47000000000003"/>
    <n v="6"/>
    <n v="1805.8200000000002"/>
    <n v="0.04"/>
    <n v="72.232800000000012"/>
    <n v="1733.5872000000002"/>
    <n v="7.18"/>
    <n v="1740.7672000000002"/>
  </r>
  <r>
    <s v="5512-1"/>
    <d v="2014-06-05T00:00:00"/>
    <x v="1"/>
    <x v="248"/>
    <s v="Qantas Domestic Terminal,Mascot"/>
    <s v="Sydney"/>
    <x v="1"/>
    <x v="1"/>
    <x v="4"/>
    <x v="4"/>
    <x v="44"/>
    <x v="0"/>
    <s v="Small Box"/>
    <x v="0"/>
    <d v="2014-06-07T00:00:00"/>
    <n v="12.39"/>
    <n v="19.98"/>
    <n v="7.59"/>
    <n v="10"/>
    <n v="199.8"/>
    <n v="0.1"/>
    <n v="19.980000000000004"/>
    <n v="179.82"/>
    <n v="5.77"/>
    <n v="185.59"/>
  </r>
  <r>
    <s v="5513-1"/>
    <d v="2014-06-07T00:00:00"/>
    <x v="1"/>
    <x v="249"/>
    <s v="1/41B Elizabeth Bay Rd,Elizabeth Bay"/>
    <s v="Sydney"/>
    <x v="1"/>
    <x v="2"/>
    <x v="10"/>
    <x v="4"/>
    <x v="67"/>
    <x v="1"/>
    <s v="Jumbo Drum"/>
    <x v="2"/>
    <d v="2014-06-08T00:00:00"/>
    <n v="278.99"/>
    <n v="449.99"/>
    <n v="171"/>
    <n v="5"/>
    <n v="2249.9499999999998"/>
    <n v="0.01"/>
    <n v="22.499499999999998"/>
    <n v="2227.4504999999999"/>
    <n v="49"/>
    <n v="2276.4504999999999"/>
  </r>
  <r>
    <s v="5514-1"/>
    <d v="2014-06-08T00:00:00"/>
    <x v="1"/>
    <x v="250"/>
    <s v="180 High Street,Windsor"/>
    <s v="Melbourne"/>
    <x v="0"/>
    <x v="1"/>
    <x v="1"/>
    <x v="3"/>
    <x v="77"/>
    <x v="0"/>
    <s v="Small Box"/>
    <x v="1"/>
    <d v="2014-06-10T00:00:00"/>
    <n v="2.2599999999999998"/>
    <n v="3.58"/>
    <n v="1.3200000000000003"/>
    <n v="44"/>
    <n v="157.52000000000001"/>
    <n v="0.06"/>
    <n v="9.4512"/>
    <n v="148.06880000000001"/>
    <n v="5.47"/>
    <n v="153.53880000000001"/>
  </r>
  <r>
    <s v="5516-1"/>
    <d v="2014-06-09T00:00:00"/>
    <x v="1"/>
    <x v="54"/>
    <s v="14 Money Street, Perth"/>
    <s v="Perth"/>
    <x v="2"/>
    <x v="3"/>
    <x v="11"/>
    <x v="0"/>
    <x v="102"/>
    <x v="2"/>
    <s v="Small Pack"/>
    <x v="0"/>
    <d v="2014-06-09T00:00:00"/>
    <n v="11.38"/>
    <n v="18.649999999999999"/>
    <n v="7.2699999999999978"/>
    <n v="18"/>
    <n v="335.7"/>
    <n v="0.1"/>
    <n v="33.57"/>
    <n v="302.13"/>
    <n v="3.77"/>
    <n v="305.89999999999998"/>
  </r>
  <r>
    <s v="5518-1"/>
    <d v="2014-06-13T00:00:00"/>
    <x v="1"/>
    <x v="251"/>
    <s v="81 MacLeay St,Potts Point"/>
    <s v="Sydney"/>
    <x v="1"/>
    <x v="1"/>
    <x v="6"/>
    <x v="2"/>
    <x v="51"/>
    <x v="0"/>
    <s v="Small Box"/>
    <x v="1"/>
    <d v="2014-06-22T00:00:00"/>
    <n v="19.829999999999998"/>
    <n v="30.98"/>
    <n v="11.150000000000002"/>
    <n v="46"/>
    <n v="1425.08"/>
    <n v="0.04"/>
    <n v="57.0032"/>
    <n v="1368.0767999999998"/>
    <n v="19.510000000000002"/>
    <n v="1387.5867999999998"/>
  </r>
  <r>
    <s v="5520-1"/>
    <d v="2014-06-16T00:00:00"/>
    <x v="1"/>
    <x v="202"/>
    <s v="438 Victoria Avenue,Chatswood"/>
    <s v="Sydney"/>
    <x v="1"/>
    <x v="0"/>
    <x v="5"/>
    <x v="2"/>
    <x v="18"/>
    <x v="0"/>
    <s v="Small Box"/>
    <x v="0"/>
    <d v="2014-06-21T00:00:00"/>
    <n v="3.52"/>
    <n v="5.68"/>
    <n v="2.1599999999999997"/>
    <n v="32"/>
    <n v="181.76"/>
    <n v="0.1"/>
    <n v="18.175999999999998"/>
    <n v="163.584"/>
    <n v="1.39"/>
    <n v="164.97399999999999"/>
  </r>
  <r>
    <s v="5521-1"/>
    <d v="2014-06-17T00:00:00"/>
    <x v="1"/>
    <x v="20"/>
    <s v="501 George St,Sydney"/>
    <s v="Sydney"/>
    <x v="1"/>
    <x v="0"/>
    <x v="6"/>
    <x v="4"/>
    <x v="38"/>
    <x v="0"/>
    <s v="Small Box"/>
    <x v="0"/>
    <d v="2014-06-18T00:00:00"/>
    <n v="1.18"/>
    <n v="1.88"/>
    <n v="0.7"/>
    <n v="19"/>
    <n v="35.72"/>
    <n v="7.0000000000000007E-2"/>
    <n v="2.5004"/>
    <n v="33.2196"/>
    <n v="1.49"/>
    <n v="34.709600000000002"/>
  </r>
  <r>
    <s v="5523-1"/>
    <d v="2014-06-18T00:00:00"/>
    <x v="1"/>
    <x v="252"/>
    <s v="8 Orange Street, Perth"/>
    <s v="Perth"/>
    <x v="2"/>
    <x v="1"/>
    <x v="4"/>
    <x v="0"/>
    <x v="2"/>
    <x v="0"/>
    <s v="Wrap Bag"/>
    <x v="0"/>
    <d v="2014-06-18T00:00:00"/>
    <n v="2.41"/>
    <n v="3.71"/>
    <n v="1.2999999999999998"/>
    <n v="39"/>
    <n v="144.69"/>
    <n v="0.06"/>
    <n v="8.6814"/>
    <n v="136.0086"/>
    <n v="1.93"/>
    <n v="137.93860000000001"/>
  </r>
  <r>
    <s v="5525-1"/>
    <d v="2014-06-18T00:00:00"/>
    <x v="1"/>
    <x v="8"/>
    <s v="273 George Street,Sydney"/>
    <s v="Sydney"/>
    <x v="1"/>
    <x v="3"/>
    <x v="2"/>
    <x v="1"/>
    <x v="127"/>
    <x v="0"/>
    <s v="Wrap Bag"/>
    <x v="0"/>
    <d v="2014-06-18T00:00:00"/>
    <n v="1.88"/>
    <n v="3.14"/>
    <n v="1.2600000000000002"/>
    <n v="32"/>
    <n v="100.48"/>
    <n v="0.03"/>
    <n v="3.0144000000000002"/>
    <n v="97.465600000000009"/>
    <n v="1.1399999999999999"/>
    <n v="98.60560000000001"/>
  </r>
  <r>
    <s v="5526-1"/>
    <d v="2014-06-19T00:00:00"/>
    <x v="1"/>
    <x v="253"/>
    <s v="1/20 Pendal Lane, Perth"/>
    <s v="Melbourne"/>
    <x v="0"/>
    <x v="2"/>
    <x v="1"/>
    <x v="4"/>
    <x v="32"/>
    <x v="0"/>
    <s v="Wrap Bag"/>
    <x v="0"/>
    <d v="2014-06-21T00:00:00"/>
    <n v="21.56"/>
    <n v="36.549999999999997"/>
    <n v="14.989999999999998"/>
    <n v="48"/>
    <n v="1754.3999999999999"/>
    <n v="7.0000000000000007E-2"/>
    <n v="122.80800000000001"/>
    <n v="1631.5919999999999"/>
    <n v="13.89"/>
    <n v="1645.482"/>
  </r>
  <r>
    <s v="5527-1"/>
    <d v="2014-06-19T00:00:00"/>
    <x v="1"/>
    <x v="254"/>
    <s v="85-113 Dunning Ave,Rosebery"/>
    <s v="Sydney"/>
    <x v="1"/>
    <x v="2"/>
    <x v="11"/>
    <x v="3"/>
    <x v="48"/>
    <x v="1"/>
    <s v="Small Pack"/>
    <x v="0"/>
    <d v="2014-06-21T00:00:00"/>
    <n v="20.18"/>
    <n v="35.409999999999997"/>
    <n v="15.229999999999997"/>
    <n v="21"/>
    <n v="743.6099999999999"/>
    <n v="0.01"/>
    <n v="7.4360999999999988"/>
    <n v="736.17389999999989"/>
    <n v="1.99"/>
    <n v="738.1638999999999"/>
  </r>
  <r>
    <s v="5529-1"/>
    <d v="2014-06-19T00:00:00"/>
    <x v="1"/>
    <x v="112"/>
    <s v="501 George St,Sydney"/>
    <s v="Sydney"/>
    <x v="1"/>
    <x v="0"/>
    <x v="6"/>
    <x v="0"/>
    <x v="6"/>
    <x v="0"/>
    <s v="Small Box"/>
    <x v="0"/>
    <d v="2014-06-21T00:00:00"/>
    <n v="99.39"/>
    <n v="162.93"/>
    <n v="63.540000000000006"/>
    <n v="16"/>
    <n v="2606.88"/>
    <n v="0.1"/>
    <n v="260.68800000000005"/>
    <n v="2346.192"/>
    <n v="19.989999999999998"/>
    <n v="2366.1819999999998"/>
  </r>
  <r>
    <s v="5531-1"/>
    <d v="2014-06-22T00:00:00"/>
    <x v="1"/>
    <x v="255"/>
    <s v="88 Oxford St,Woollahra"/>
    <s v="Sydney"/>
    <x v="1"/>
    <x v="1"/>
    <x v="10"/>
    <x v="3"/>
    <x v="84"/>
    <x v="2"/>
    <s v="Large Box"/>
    <x v="1"/>
    <d v="2014-06-24T00:00:00"/>
    <n v="56.16"/>
    <n v="136.97999999999999"/>
    <n v="80.819999999999993"/>
    <n v="17"/>
    <n v="2328.66"/>
    <n v="0"/>
    <n v="0"/>
    <n v="2328.66"/>
    <n v="24.49"/>
    <n v="2353.1499999999996"/>
  </r>
  <r>
    <s v="5533-1"/>
    <d v="2014-06-22T00:00:00"/>
    <x v="1"/>
    <x v="256"/>
    <s v="10 Bligh St,Melbourne"/>
    <s v="Melbourne"/>
    <x v="0"/>
    <x v="2"/>
    <x v="1"/>
    <x v="4"/>
    <x v="106"/>
    <x v="0"/>
    <s v="Small Box"/>
    <x v="1"/>
    <d v="2014-06-24T00:00:00"/>
    <n v="3.14"/>
    <n v="4.91"/>
    <n v="1.77"/>
    <n v="24"/>
    <n v="117.84"/>
    <n v="0.01"/>
    <n v="1.1784000000000001"/>
    <n v="116.66160000000001"/>
    <n v="0.5"/>
    <n v="117.16160000000001"/>
  </r>
  <r>
    <s v="5534-1"/>
    <d v="2014-06-23T00:00:00"/>
    <x v="1"/>
    <x v="257"/>
    <s v="Shop 1 797 Botany Rd,Rosebery"/>
    <s v="Sydney"/>
    <x v="1"/>
    <x v="0"/>
    <x v="4"/>
    <x v="4"/>
    <x v="128"/>
    <x v="0"/>
    <s v="Small Box"/>
    <x v="0"/>
    <d v="2014-06-23T00:00:00"/>
    <n v="1.84"/>
    <n v="2.88"/>
    <n v="1.0399999999999998"/>
    <n v="8"/>
    <n v="23.04"/>
    <n v="7.0000000000000007E-2"/>
    <n v="1.6128"/>
    <n v="21.427199999999999"/>
    <n v="0.99"/>
    <n v="22.417199999999998"/>
  </r>
  <r>
    <s v="5536-1"/>
    <d v="2014-06-25T00:00:00"/>
    <x v="1"/>
    <x v="65"/>
    <s v="85-113 Dunning Ave,Roseberry"/>
    <s v="Sydney"/>
    <x v="1"/>
    <x v="3"/>
    <x v="11"/>
    <x v="3"/>
    <x v="96"/>
    <x v="0"/>
    <s v="Small Pack"/>
    <x v="0"/>
    <d v="2014-06-25T00:00:00"/>
    <n v="16.8"/>
    <n v="40.97"/>
    <n v="24.169999999999998"/>
    <n v="47"/>
    <n v="1925.59"/>
    <n v="0.06"/>
    <n v="115.5354"/>
    <n v="1810.0545999999999"/>
    <n v="8.99"/>
    <n v="1819.0445999999999"/>
  </r>
  <r>
    <s v="5537-1"/>
    <d v="2014-06-27T00:00:00"/>
    <x v="1"/>
    <x v="258"/>
    <s v="412 Brunswick St,Fitzroy"/>
    <s v="Melbourne"/>
    <x v="0"/>
    <x v="3"/>
    <x v="1"/>
    <x v="0"/>
    <x v="78"/>
    <x v="0"/>
    <s v="Small Pack"/>
    <x v="0"/>
    <d v="2014-06-28T00:00:00"/>
    <n v="1.46"/>
    <n v="3.57"/>
    <n v="2.11"/>
    <n v="46"/>
    <n v="164.22"/>
    <n v="0.01"/>
    <n v="1.6422000000000001"/>
    <n v="162.5778"/>
    <n v="4.17"/>
    <n v="166.74779999999998"/>
  </r>
  <r>
    <s v="5539-1"/>
    <d v="2014-06-29T00:00:00"/>
    <x v="1"/>
    <x v="259"/>
    <s v="127 Liverpool St,Sydney"/>
    <s v="Sydney"/>
    <x v="1"/>
    <x v="0"/>
    <x v="6"/>
    <x v="3"/>
    <x v="94"/>
    <x v="0"/>
    <s v="Small Box"/>
    <x v="0"/>
    <d v="2014-06-30T00:00:00"/>
    <n v="4.53"/>
    <n v="7.3"/>
    <n v="2.7699999999999996"/>
    <n v="50"/>
    <n v="365"/>
    <n v="0.02"/>
    <n v="7.3"/>
    <n v="357.7"/>
    <n v="7.72"/>
    <n v="365.42"/>
  </r>
  <r>
    <s v="5539-2"/>
    <d v="2014-06-29T00:00:00"/>
    <x v="1"/>
    <x v="259"/>
    <s v="127 Liverpool St,Sydney"/>
    <s v="Sydney"/>
    <x v="1"/>
    <x v="0"/>
    <x v="6"/>
    <x v="3"/>
    <x v="129"/>
    <x v="0"/>
    <s v="Wrap Bag"/>
    <x v="0"/>
    <d v="2014-06-30T00:00:00"/>
    <n v="1.53"/>
    <n v="2.4700000000000002"/>
    <n v="0.94000000000000017"/>
    <n v="43"/>
    <n v="106.21000000000001"/>
    <n v="0.02"/>
    <n v="2.1242000000000001"/>
    <n v="104.08580000000001"/>
    <n v="1.02"/>
    <n v="105.1058"/>
  </r>
  <r>
    <s v="5541-1"/>
    <d v="2014-06-29T00:00:00"/>
    <x v="1"/>
    <x v="260"/>
    <s v="Sydney Fish Market, Bank Street, Sydney"/>
    <s v="Sydney"/>
    <x v="1"/>
    <x v="1"/>
    <x v="4"/>
    <x v="4"/>
    <x v="22"/>
    <x v="0"/>
    <s v="Small Box"/>
    <x v="0"/>
    <d v="2014-06-29T00:00:00"/>
    <n v="1.59"/>
    <n v="2.61"/>
    <n v="1.0199999999999998"/>
    <n v="44"/>
    <n v="114.83999999999999"/>
    <n v="0.09"/>
    <n v="10.335599999999999"/>
    <n v="104.50439999999999"/>
    <n v="0.5"/>
    <n v="105.00439999999999"/>
  </r>
  <r>
    <s v="5544-1"/>
    <d v="2014-06-29T00:00:00"/>
    <x v="1"/>
    <x v="31"/>
    <s v="3 Carrington Road ,Box Hill"/>
    <s v="Melbourne"/>
    <x v="0"/>
    <x v="1"/>
    <x v="0"/>
    <x v="3"/>
    <x v="130"/>
    <x v="1"/>
    <s v="Small Box"/>
    <x v="0"/>
    <d v="2014-06-30T00:00:00"/>
    <n v="14.7"/>
    <n v="29.99"/>
    <n v="15.29"/>
    <n v="20"/>
    <n v="599.79999999999995"/>
    <n v="0"/>
    <n v="0"/>
    <n v="599.79999999999995"/>
    <n v="5.5"/>
    <n v="605.29999999999995"/>
  </r>
  <r>
    <s v="5546-1"/>
    <d v="2014-06-30T00:00:00"/>
    <x v="1"/>
    <x v="261"/>
    <s v="834 Bourke St,Waterloo"/>
    <s v="Sydney"/>
    <x v="1"/>
    <x v="1"/>
    <x v="10"/>
    <x v="4"/>
    <x v="45"/>
    <x v="0"/>
    <s v="Small Box"/>
    <x v="0"/>
    <d v="2014-07-03T00:00:00"/>
    <n v="8.92"/>
    <n v="29.74"/>
    <n v="20.82"/>
    <n v="4"/>
    <n v="118.96"/>
    <n v="0.05"/>
    <n v="5.9480000000000004"/>
    <n v="113.012"/>
    <n v="6.64"/>
    <n v="119.652"/>
  </r>
  <r>
    <s v="5547-1"/>
    <d v="2014-07-04T00:00:00"/>
    <x v="1"/>
    <x v="262"/>
    <s v="180 High Street,Windsor"/>
    <s v="Melbourne"/>
    <x v="0"/>
    <x v="2"/>
    <x v="1"/>
    <x v="0"/>
    <x v="87"/>
    <x v="0"/>
    <s v="Wrap Bag"/>
    <x v="0"/>
    <d v="2014-07-06T00:00:00"/>
    <n v="3.32"/>
    <n v="5.18"/>
    <n v="1.8599999999999999"/>
    <n v="43"/>
    <n v="222.73999999999998"/>
    <n v="0.03"/>
    <n v="6.682199999999999"/>
    <n v="216.05779999999999"/>
    <n v="2.04"/>
    <n v="218.09779999999998"/>
  </r>
  <r>
    <s v="5548-1"/>
    <d v="2014-07-05T00:00:00"/>
    <x v="1"/>
    <x v="263"/>
    <s v="Westfield 1 Anderson St,Chatswood"/>
    <s v="Sydney"/>
    <x v="1"/>
    <x v="2"/>
    <x v="3"/>
    <x v="1"/>
    <x v="131"/>
    <x v="0"/>
    <s v="Small Box"/>
    <x v="0"/>
    <d v="2014-07-08T00:00:00"/>
    <n v="1.84"/>
    <n v="2.88"/>
    <n v="1.0399999999999998"/>
    <n v="47"/>
    <n v="135.35999999999999"/>
    <n v="0.03"/>
    <n v="4.0607999999999995"/>
    <n v="131.29919999999998"/>
    <n v="5.33"/>
    <n v="136.6292"/>
  </r>
  <r>
    <s v="5549-1"/>
    <d v="2014-07-11T00:00:00"/>
    <x v="1"/>
    <x v="206"/>
    <s v="541 Church St,Richmond"/>
    <s v="Melbourne"/>
    <x v="0"/>
    <x v="2"/>
    <x v="0"/>
    <x v="0"/>
    <x v="25"/>
    <x v="1"/>
    <s v="Small Box"/>
    <x v="0"/>
    <d v="2014-07-13T00:00:00"/>
    <n v="8.31"/>
    <n v="15.98"/>
    <n v="7.67"/>
    <n v="40"/>
    <n v="639.20000000000005"/>
    <n v="0.03"/>
    <n v="19.176000000000002"/>
    <n v="620.024"/>
    <n v="6.5"/>
    <n v="626.524"/>
  </r>
  <r>
    <s v="5551-1"/>
    <d v="2014-07-12T00:00:00"/>
    <x v="1"/>
    <x v="264"/>
    <s v="Shop 1, 186-190 Church Street,Parramatta;46a Macleay Street,Potts Point"/>
    <s v="Sydney"/>
    <x v="1"/>
    <x v="2"/>
    <x v="11"/>
    <x v="4"/>
    <x v="132"/>
    <x v="0"/>
    <s v="Small Box"/>
    <x v="0"/>
    <d v="2014-07-14T00:00:00"/>
    <n v="1.82"/>
    <n v="2.84"/>
    <n v="1.0199999999999998"/>
    <n v="19"/>
    <n v="53.959999999999994"/>
    <n v="0"/>
    <n v="0"/>
    <n v="53.959999999999994"/>
    <n v="5.44"/>
    <n v="59.399999999999991"/>
  </r>
  <r>
    <s v="5552-1"/>
    <d v="2014-07-15T00:00:00"/>
    <x v="1"/>
    <x v="265"/>
    <s v="37/59 Brewer Street, Perth"/>
    <s v="Melbourne"/>
    <x v="0"/>
    <x v="1"/>
    <x v="1"/>
    <x v="3"/>
    <x v="29"/>
    <x v="1"/>
    <s v="Small Pack"/>
    <x v="0"/>
    <d v="2014-07-17T00:00:00"/>
    <n v="1.87"/>
    <n v="8.1199999999999992"/>
    <n v="6.2499999999999991"/>
    <n v="4"/>
    <n v="32.479999999999997"/>
    <n v="7.0000000000000007E-2"/>
    <n v="2.2736000000000001"/>
    <n v="30.206399999999995"/>
    <n v="2.83"/>
    <n v="33.036399999999993"/>
  </r>
  <r>
    <s v="5554-1"/>
    <d v="2014-07-17T00:00:00"/>
    <x v="1"/>
    <x v="91"/>
    <s v="14 Money Street"/>
    <s v="Perth"/>
    <x v="2"/>
    <x v="3"/>
    <x v="4"/>
    <x v="0"/>
    <x v="125"/>
    <x v="0"/>
    <s v="Small Box"/>
    <x v="0"/>
    <d v="2014-07-18T00:00:00"/>
    <n v="2.76"/>
    <n v="4.38"/>
    <n v="1.62"/>
    <n v="18"/>
    <n v="78.84"/>
    <n v="0.03"/>
    <n v="2.3652000000000002"/>
    <n v="76.474800000000002"/>
    <n v="6.21"/>
    <n v="82.684799999999996"/>
  </r>
  <r>
    <s v="5556-1"/>
    <d v="2014-07-18T00:00:00"/>
    <x v="1"/>
    <x v="266"/>
    <s v="14 Money Street, Perth"/>
    <s v="Sydney"/>
    <x v="1"/>
    <x v="1"/>
    <x v="2"/>
    <x v="4"/>
    <x v="128"/>
    <x v="0"/>
    <s v="Small Box"/>
    <x v="0"/>
    <d v="2014-07-19T00:00:00"/>
    <n v="1.84"/>
    <n v="2.88"/>
    <n v="1.0399999999999998"/>
    <n v="10"/>
    <n v="28.799999999999997"/>
    <n v="0.01"/>
    <n v="0.28799999999999998"/>
    <n v="28.511999999999997"/>
    <n v="0.99"/>
    <n v="29.501999999999995"/>
  </r>
  <r>
    <s v="5558-1"/>
    <d v="2014-07-18T00:00:00"/>
    <x v="1"/>
    <x v="267"/>
    <s v="3/265 Stirling Street"/>
    <s v="Perth"/>
    <x v="2"/>
    <x v="2"/>
    <x v="4"/>
    <x v="2"/>
    <x v="133"/>
    <x v="0"/>
    <s v="Wrap Bag"/>
    <x v="0"/>
    <d v="2014-07-20T00:00:00"/>
    <n v="0.92"/>
    <n v="1.81"/>
    <n v="0.89"/>
    <n v="8"/>
    <n v="14.48"/>
    <n v="0.05"/>
    <n v="0.72400000000000009"/>
    <n v="13.756"/>
    <n v="1.56"/>
    <n v="15.316000000000001"/>
  </r>
  <r>
    <s v="5558-2"/>
    <d v="2014-07-18T00:00:00"/>
    <x v="1"/>
    <x v="267"/>
    <s v="3/265 Stirling Street"/>
    <s v="Perth"/>
    <x v="2"/>
    <x v="2"/>
    <x v="4"/>
    <x v="2"/>
    <x v="134"/>
    <x v="0"/>
    <s v="Wrap Bag"/>
    <x v="0"/>
    <d v="2014-07-25T00:00:00"/>
    <n v="1.9"/>
    <n v="3.28"/>
    <n v="1.38"/>
    <n v="41"/>
    <n v="134.47999999999999"/>
    <n v="0.05"/>
    <n v="6.7240000000000002"/>
    <n v="127.75599999999999"/>
    <n v="1.95"/>
    <n v="129.70599999999999"/>
  </r>
  <r>
    <s v="5560-1"/>
    <d v="2014-07-22T00:00:00"/>
    <x v="1"/>
    <x v="268"/>
    <s v="1/173-179 Bronte Rd,Waverley"/>
    <s v="Sydney"/>
    <x v="1"/>
    <x v="2"/>
    <x v="2"/>
    <x v="2"/>
    <x v="56"/>
    <x v="0"/>
    <s v="Small Box"/>
    <x v="0"/>
    <d v="2014-07-24T00:00:00"/>
    <n v="1.33"/>
    <n v="2.08"/>
    <n v="0.75"/>
    <n v="20"/>
    <n v="41.6"/>
    <n v="0.04"/>
    <n v="1.6640000000000001"/>
    <n v="39.936"/>
    <n v="1.49"/>
    <n v="41.426000000000002"/>
  </r>
  <r>
    <s v="5562-1"/>
    <d v="2014-07-24T00:00:00"/>
    <x v="1"/>
    <x v="269"/>
    <s v="1/50-58 Hunter St,Sydney"/>
    <s v="Sydney"/>
    <x v="1"/>
    <x v="3"/>
    <x v="12"/>
    <x v="1"/>
    <x v="53"/>
    <x v="0"/>
    <s v="Wrap Bag"/>
    <x v="1"/>
    <d v="2014-07-26T00:00:00"/>
    <n v="1.6"/>
    <n v="2.62"/>
    <n v="1.02"/>
    <n v="25"/>
    <n v="65.5"/>
    <n v="0.09"/>
    <n v="5.8949999999999996"/>
    <n v="59.605000000000004"/>
    <n v="0.8"/>
    <n v="60.405000000000001"/>
  </r>
  <r>
    <s v="5564-1"/>
    <d v="2014-07-25T00:00:00"/>
    <x v="1"/>
    <x v="270"/>
    <s v="499-501 Lygon Street,Carlton North"/>
    <s v="Melbourne"/>
    <x v="0"/>
    <x v="0"/>
    <x v="0"/>
    <x v="2"/>
    <x v="58"/>
    <x v="0"/>
    <s v="Small Box"/>
    <x v="0"/>
    <d v="2014-07-27T00:00:00"/>
    <n v="1.98"/>
    <n v="3.15"/>
    <n v="1.17"/>
    <n v="46"/>
    <n v="144.9"/>
    <n v="0.1"/>
    <n v="14.490000000000002"/>
    <n v="130.41"/>
    <n v="0.49"/>
    <n v="130.9"/>
  </r>
  <r>
    <s v="5566-1"/>
    <d v="2014-07-26T00:00:00"/>
    <x v="1"/>
    <x v="271"/>
    <s v="1/160 Anzac Parade,Kensington"/>
    <s v="Sydney"/>
    <x v="1"/>
    <x v="0"/>
    <x v="5"/>
    <x v="2"/>
    <x v="110"/>
    <x v="1"/>
    <s v="Large Box"/>
    <x v="0"/>
    <d v="2014-08-04T00:00:00"/>
    <n v="377.99"/>
    <n v="599.99"/>
    <n v="222"/>
    <n v="25"/>
    <n v="14999.75"/>
    <n v="7.0000000000000007E-2"/>
    <n v="1049.9825000000001"/>
    <n v="13949.7675"/>
    <n v="24.49"/>
    <n v="13974.2575"/>
  </r>
  <r>
    <s v="5566-2"/>
    <d v="2014-07-26T00:00:00"/>
    <x v="1"/>
    <x v="271"/>
    <s v="1/160 Anzac Parade,Kensington"/>
    <s v="Sydney"/>
    <x v="1"/>
    <x v="0"/>
    <x v="5"/>
    <x v="2"/>
    <x v="53"/>
    <x v="0"/>
    <s v="Wrap Bag"/>
    <x v="0"/>
    <d v="2014-08-02T00:00:00"/>
    <n v="1.6"/>
    <n v="2.62"/>
    <n v="1.02"/>
    <n v="10"/>
    <n v="26.200000000000003"/>
    <n v="0.08"/>
    <n v="2.0960000000000001"/>
    <n v="24.104000000000003"/>
    <n v="0.8"/>
    <n v="24.904000000000003"/>
  </r>
  <r>
    <s v="5569-1"/>
    <d v="2014-07-28T00:00:00"/>
    <x v="1"/>
    <x v="272"/>
    <s v="531 King St,Newtown"/>
    <s v="Sydney"/>
    <x v="1"/>
    <x v="1"/>
    <x v="11"/>
    <x v="4"/>
    <x v="30"/>
    <x v="1"/>
    <s v="Medium Box"/>
    <x v="0"/>
    <d v="2014-07-30T00:00:00"/>
    <n v="8.82"/>
    <n v="20.99"/>
    <n v="12.169999999999998"/>
    <n v="9"/>
    <n v="188.91"/>
    <n v="0.08"/>
    <n v="15.1128"/>
    <n v="173.7972"/>
    <n v="4.8099999999999996"/>
    <n v="178.60720000000001"/>
  </r>
  <r>
    <s v="5570-1"/>
    <d v="2014-07-30T00:00:00"/>
    <x v="1"/>
    <x v="273"/>
    <s v="120 Hardware St,Melbourne"/>
    <s v="Melbourne"/>
    <x v="0"/>
    <x v="3"/>
    <x v="0"/>
    <x v="0"/>
    <x v="131"/>
    <x v="0"/>
    <s v="Small Box"/>
    <x v="0"/>
    <d v="2014-07-31T00:00:00"/>
    <n v="1.84"/>
    <n v="2.88"/>
    <n v="1.0399999999999998"/>
    <n v="11"/>
    <n v="31.68"/>
    <n v="0.02"/>
    <n v="0.63360000000000005"/>
    <n v="31.046399999999998"/>
    <n v="5.33"/>
    <n v="36.376399999999997"/>
  </r>
  <r>
    <s v="5572-1"/>
    <d v="2014-07-30T00:00:00"/>
    <x v="1"/>
    <x v="274"/>
    <s v="Sydney Fish Market, Bank Street, Sydney"/>
    <s v="Sydney"/>
    <x v="1"/>
    <x v="3"/>
    <x v="4"/>
    <x v="0"/>
    <x v="31"/>
    <x v="0"/>
    <s v="Small Box"/>
    <x v="0"/>
    <d v="2014-08-01T00:00:00"/>
    <n v="13.88"/>
    <n v="22.38"/>
    <n v="8.4999999999999982"/>
    <n v="34"/>
    <n v="760.92"/>
    <n v="0.01"/>
    <n v="7.6091999999999995"/>
    <n v="753.31079999999997"/>
    <n v="15.1"/>
    <n v="768.41079999999999"/>
  </r>
  <r>
    <s v="5574-1"/>
    <d v="2014-07-30T00:00:00"/>
    <x v="1"/>
    <x v="275"/>
    <s v="99 Lygon Street,East Brunswick"/>
    <s v="Melbourne"/>
    <x v="0"/>
    <x v="1"/>
    <x v="1"/>
    <x v="4"/>
    <x v="10"/>
    <x v="0"/>
    <s v="Small Box"/>
    <x v="0"/>
    <d v="2014-08-01T00:00:00"/>
    <n v="4.8899999999999997"/>
    <n v="7.64"/>
    <n v="2.75"/>
    <n v="7"/>
    <n v="53.48"/>
    <n v="0.06"/>
    <n v="3.2087999999999997"/>
    <n v="50.2712"/>
    <n v="1.39"/>
    <n v="51.661200000000001"/>
  </r>
  <r>
    <s v="5576-1"/>
    <d v="2014-08-03T00:00:00"/>
    <x v="1"/>
    <x v="276"/>
    <s v="Westfield Miranda, 600 Kingsway,Miranda"/>
    <s v="Sydney"/>
    <x v="1"/>
    <x v="1"/>
    <x v="12"/>
    <x v="4"/>
    <x v="80"/>
    <x v="0"/>
    <s v="Small Box"/>
    <x v="0"/>
    <d v="2014-08-04T00:00:00"/>
    <n v="3.5"/>
    <n v="5.74"/>
    <n v="2.2400000000000002"/>
    <n v="7"/>
    <n v="40.18"/>
    <n v="0.04"/>
    <n v="1.6072"/>
    <n v="38.572800000000001"/>
    <n v="5.01"/>
    <n v="43.582799999999999"/>
  </r>
  <r>
    <s v="5578-1"/>
    <d v="2014-08-05T00:00:00"/>
    <x v="1"/>
    <x v="277"/>
    <s v="221 Barkly St,St Kilda"/>
    <s v="Melbourne"/>
    <x v="0"/>
    <x v="2"/>
    <x v="0"/>
    <x v="0"/>
    <x v="5"/>
    <x v="0"/>
    <s v="Wrap Bag"/>
    <x v="0"/>
    <d v="2014-08-07T00:00:00"/>
    <n v="1.0900000000000001"/>
    <n v="2.6"/>
    <n v="1.51"/>
    <n v="43"/>
    <n v="111.8"/>
    <n v="0.06"/>
    <n v="6.7079999999999993"/>
    <n v="105.092"/>
    <n v="2.4"/>
    <n v="107.492"/>
  </r>
  <r>
    <s v="5579-1"/>
    <d v="2014-08-06T00:00:00"/>
    <x v="1"/>
    <x v="278"/>
    <s v="181 Enmore Rd,Enmore"/>
    <s v="Sydney"/>
    <x v="1"/>
    <x v="1"/>
    <x v="13"/>
    <x v="2"/>
    <x v="70"/>
    <x v="0"/>
    <s v="Small Box"/>
    <x v="0"/>
    <d v="2014-08-06T00:00:00"/>
    <n v="3.65"/>
    <n v="5.98"/>
    <n v="2.3300000000000005"/>
    <n v="32"/>
    <n v="191.36"/>
    <n v="0.1"/>
    <n v="19.136000000000003"/>
    <n v="172.22400000000002"/>
    <n v="1.49"/>
    <n v="173.71400000000003"/>
  </r>
  <r>
    <s v="5581-1"/>
    <d v="2014-08-07T00:00:00"/>
    <x v="1"/>
    <x v="279"/>
    <s v="188 Pitt Street,Sydney"/>
    <s v="Sydney"/>
    <x v="1"/>
    <x v="3"/>
    <x v="8"/>
    <x v="1"/>
    <x v="87"/>
    <x v="0"/>
    <s v="Wrap Bag"/>
    <x v="0"/>
    <d v="2014-08-09T00:00:00"/>
    <n v="3.32"/>
    <n v="5.18"/>
    <n v="1.8599999999999999"/>
    <n v="17"/>
    <n v="88.06"/>
    <n v="0.02"/>
    <n v="1.7612000000000001"/>
    <n v="86.2988"/>
    <n v="2.04"/>
    <n v="88.338800000000006"/>
  </r>
  <r>
    <s v="5583-1"/>
    <d v="2014-08-11T00:00:00"/>
    <x v="1"/>
    <x v="280"/>
    <s v="6 Brookman Street, Perth"/>
    <s v="Sydney"/>
    <x v="1"/>
    <x v="1"/>
    <x v="9"/>
    <x v="1"/>
    <x v="65"/>
    <x v="0"/>
    <s v="Wrap Bag"/>
    <x v="0"/>
    <d v="2014-08-12T00:00:00"/>
    <n v="0.24"/>
    <n v="1.26"/>
    <n v="1.02"/>
    <n v="2"/>
    <n v="2.52"/>
    <n v="0.06"/>
    <n v="0.1512"/>
    <n v="2.3688000000000002"/>
    <n v="0.7"/>
    <n v="3.0688000000000004"/>
  </r>
  <r>
    <s v="5584-1"/>
    <d v="2014-08-11T00:00:00"/>
    <x v="1"/>
    <x v="81"/>
    <s v="180 High Street,Windsor"/>
    <s v="Melbourne"/>
    <x v="0"/>
    <x v="3"/>
    <x v="1"/>
    <x v="1"/>
    <x v="32"/>
    <x v="0"/>
    <s v="Wrap Bag"/>
    <x v="0"/>
    <d v="2014-08-14T00:00:00"/>
    <n v="21.56"/>
    <n v="36.549999999999997"/>
    <n v="14.989999999999998"/>
    <n v="24"/>
    <n v="877.19999999999993"/>
    <n v="7.0000000000000007E-2"/>
    <n v="61.404000000000003"/>
    <n v="815.79599999999994"/>
    <n v="13.89"/>
    <n v="829.68599999999992"/>
  </r>
  <r>
    <s v="5586-1"/>
    <d v="2014-08-11T00:00:00"/>
    <x v="1"/>
    <x v="281"/>
    <s v="180 High Street,Windsor"/>
    <s v="Melbourne"/>
    <x v="0"/>
    <x v="1"/>
    <x v="1"/>
    <x v="4"/>
    <x v="35"/>
    <x v="0"/>
    <s v="Wrap Bag"/>
    <x v="0"/>
    <d v="2014-08-13T00:00:00"/>
    <n v="3.75"/>
    <n v="7.08"/>
    <n v="3.33"/>
    <n v="47"/>
    <n v="332.76"/>
    <n v="0.1"/>
    <n v="33.276000000000003"/>
    <n v="299.48399999999998"/>
    <n v="2.35"/>
    <n v="301.834"/>
  </r>
  <r>
    <s v="5588-1"/>
    <d v="2014-08-11T00:00:00"/>
    <x v="1"/>
    <x v="282"/>
    <s v="221 Barkly St,St Kilda"/>
    <s v="Melbourne"/>
    <x v="0"/>
    <x v="2"/>
    <x v="0"/>
    <x v="0"/>
    <x v="52"/>
    <x v="0"/>
    <s v="Wrap Bag"/>
    <x v="1"/>
    <d v="2014-08-13T00:00:00"/>
    <n v="2.9"/>
    <n v="4.76"/>
    <n v="1.8599999999999999"/>
    <n v="11"/>
    <n v="52.36"/>
    <n v="0.08"/>
    <n v="4.1887999999999996"/>
    <n v="48.171199999999999"/>
    <n v="0.88"/>
    <n v="49.051200000000001"/>
  </r>
  <r>
    <s v="5589-1"/>
    <d v="2014-08-12T00:00:00"/>
    <x v="1"/>
    <x v="44"/>
    <s v="152 Bunnerong Road,Eastgardens"/>
    <s v="Sydney"/>
    <x v="1"/>
    <x v="0"/>
    <x v="8"/>
    <x v="2"/>
    <x v="23"/>
    <x v="1"/>
    <s v="Small Box"/>
    <x v="0"/>
    <d v="2014-08-19T00:00:00"/>
    <n v="6.39"/>
    <n v="19.98"/>
    <n v="13.59"/>
    <n v="5"/>
    <n v="99.9"/>
    <n v="0.09"/>
    <n v="8.9909999999999997"/>
    <n v="90.909000000000006"/>
    <n v="4"/>
    <n v="94.909000000000006"/>
  </r>
  <r>
    <s v="5591-1"/>
    <d v="2014-08-22T00:00:00"/>
    <x v="1"/>
    <x v="283"/>
    <s v="359 Crown Street,Surry Hills"/>
    <s v="Sydney"/>
    <x v="1"/>
    <x v="0"/>
    <x v="4"/>
    <x v="3"/>
    <x v="135"/>
    <x v="0"/>
    <s v="Small Box"/>
    <x v="0"/>
    <d v="2014-08-23T00:00:00"/>
    <n v="4.03"/>
    <n v="9.3800000000000008"/>
    <n v="5.3500000000000005"/>
    <n v="17"/>
    <n v="159.46"/>
    <n v="0.09"/>
    <n v="14.3514"/>
    <n v="145.1086"/>
    <n v="7.28"/>
    <n v="152.3886"/>
  </r>
  <r>
    <s v="5593-1"/>
    <d v="2014-08-25T00:00:00"/>
    <x v="1"/>
    <x v="250"/>
    <s v="180 High Street,Windsor"/>
    <s v="Melbourne"/>
    <x v="0"/>
    <x v="1"/>
    <x v="1"/>
    <x v="0"/>
    <x v="36"/>
    <x v="2"/>
    <s v="Small Pack"/>
    <x v="0"/>
    <d v="2014-08-27T00:00:00"/>
    <n v="5.5"/>
    <n v="12.22"/>
    <n v="6.7200000000000006"/>
    <n v="37"/>
    <n v="452.14000000000004"/>
    <n v="0.09"/>
    <n v="40.692600000000006"/>
    <n v="411.44740000000002"/>
    <n v="2.85"/>
    <n v="414.29740000000004"/>
  </r>
  <r>
    <s v="5594-1"/>
    <d v="2014-08-25T00:00:00"/>
    <x v="1"/>
    <x v="284"/>
    <s v="53 Riley Street,Woolloomooloo"/>
    <s v="Sydney"/>
    <x v="1"/>
    <x v="0"/>
    <x v="8"/>
    <x v="0"/>
    <x v="55"/>
    <x v="0"/>
    <s v="Wrap Bag"/>
    <x v="0"/>
    <d v="2014-08-27T00:00:00"/>
    <n v="11.11"/>
    <n v="19.84"/>
    <n v="8.73"/>
    <n v="28"/>
    <n v="555.52"/>
    <n v="0.06"/>
    <n v="33.331199999999995"/>
    <n v="522.18880000000001"/>
    <n v="4.0999999999999996"/>
    <n v="526.28880000000004"/>
  </r>
  <r>
    <s v="5596-1"/>
    <d v="2014-08-26T00:00:00"/>
    <x v="1"/>
    <x v="107"/>
    <s v="37/59 Brewer Street"/>
    <s v="Perth"/>
    <x v="2"/>
    <x v="1"/>
    <x v="8"/>
    <x v="4"/>
    <x v="25"/>
    <x v="1"/>
    <s v="Small Box"/>
    <x v="0"/>
    <d v="2014-08-26T00:00:00"/>
    <n v="10.07"/>
    <n v="15.98"/>
    <n v="5.91"/>
    <n v="46"/>
    <n v="735.08"/>
    <n v="0.02"/>
    <n v="14.701600000000001"/>
    <n v="720.37840000000006"/>
    <n v="4"/>
    <n v="724.37840000000006"/>
  </r>
  <r>
    <s v="5597-1"/>
    <d v="2014-08-27T00:00:00"/>
    <x v="1"/>
    <x v="285"/>
    <s v="240-242 Johnston Street,Fitzroy"/>
    <s v="Melbourne"/>
    <x v="0"/>
    <x v="0"/>
    <x v="1"/>
    <x v="3"/>
    <x v="53"/>
    <x v="0"/>
    <s v="Wrap Bag"/>
    <x v="1"/>
    <d v="2014-08-28T00:00:00"/>
    <n v="1.6"/>
    <n v="2.62"/>
    <n v="1.02"/>
    <n v="45"/>
    <n v="117.9"/>
    <n v="0.01"/>
    <n v="1.179"/>
    <n v="116.721"/>
    <n v="0.8"/>
    <n v="117.521"/>
  </r>
  <r>
    <s v="5599-1"/>
    <d v="2014-08-28T00:00:00"/>
    <x v="1"/>
    <x v="286"/>
    <s v="Crown Complex,Southbank"/>
    <s v="Melbourne"/>
    <x v="0"/>
    <x v="1"/>
    <x v="0"/>
    <x v="0"/>
    <x v="67"/>
    <x v="1"/>
    <s v="Jumbo Drum"/>
    <x v="2"/>
    <d v="2014-08-28T00:00:00"/>
    <n v="278.99"/>
    <n v="449.99"/>
    <n v="171"/>
    <n v="15"/>
    <n v="6749.85"/>
    <n v="0.04"/>
    <n v="269.99400000000003"/>
    <n v="6479.8560000000007"/>
    <n v="49"/>
    <n v="6528.8560000000007"/>
  </r>
  <r>
    <s v="5599-2"/>
    <d v="2014-08-28T00:00:00"/>
    <x v="1"/>
    <x v="286"/>
    <s v="Crown Complex,Southbank"/>
    <s v="Melbourne"/>
    <x v="0"/>
    <x v="1"/>
    <x v="0"/>
    <x v="0"/>
    <x v="20"/>
    <x v="0"/>
    <s v="Wrap Bag"/>
    <x v="0"/>
    <d v="2014-08-29T00:00:00"/>
    <n v="2.52"/>
    <n v="4"/>
    <n v="1.48"/>
    <n v="14"/>
    <n v="56"/>
    <n v="0.06"/>
    <n v="3.36"/>
    <n v="52.64"/>
    <n v="1.3"/>
    <n v="53.94"/>
  </r>
  <r>
    <s v="5603-1"/>
    <d v="2014-08-28T00:00:00"/>
    <x v="1"/>
    <x v="66"/>
    <s v="85-113 Dunning Ave,Roseberry"/>
    <s v="Sydney"/>
    <x v="1"/>
    <x v="2"/>
    <x v="11"/>
    <x v="2"/>
    <x v="68"/>
    <x v="1"/>
    <s v="Small Box"/>
    <x v="0"/>
    <d v="2014-09-01T00:00:00"/>
    <n v="6.51"/>
    <n v="30.98"/>
    <n v="24.47"/>
    <n v="37"/>
    <n v="1146.26"/>
    <n v="0.03"/>
    <n v="34.387799999999999"/>
    <n v="1111.8722"/>
    <n v="6.5"/>
    <n v="1118.3722"/>
  </r>
  <r>
    <s v="5604-1"/>
    <d v="2014-09-02T00:00:00"/>
    <x v="1"/>
    <x v="234"/>
    <s v="152 Bunnerong Road,Eastgardens"/>
    <s v="Sydney"/>
    <x v="1"/>
    <x v="0"/>
    <x v="8"/>
    <x v="2"/>
    <x v="25"/>
    <x v="1"/>
    <s v="Small Box"/>
    <x v="0"/>
    <d v="2014-09-04T00:00:00"/>
    <n v="10.07"/>
    <n v="15.98"/>
    <n v="5.91"/>
    <n v="29"/>
    <n v="463.42"/>
    <n v="0.04"/>
    <n v="18.536799999999999"/>
    <n v="444.88319999999999"/>
    <n v="4"/>
    <n v="448.88319999999999"/>
  </r>
  <r>
    <s v="5605-1"/>
    <d v="2014-09-03T00:00:00"/>
    <x v="1"/>
    <x v="287"/>
    <s v="523 King St,Newtown"/>
    <s v="Sydney"/>
    <x v="1"/>
    <x v="3"/>
    <x v="9"/>
    <x v="4"/>
    <x v="105"/>
    <x v="0"/>
    <s v="Wrap Bag"/>
    <x v="0"/>
    <d v="2014-09-05T00:00:00"/>
    <n v="1.92"/>
    <n v="3.26"/>
    <n v="1.3399999999999999"/>
    <n v="31"/>
    <n v="101.05999999999999"/>
    <n v="0"/>
    <n v="0"/>
    <n v="101.05999999999999"/>
    <n v="1.86"/>
    <n v="102.91999999999999"/>
  </r>
  <r>
    <s v="5606-1"/>
    <d v="2014-09-03T00:00:00"/>
    <x v="1"/>
    <x v="288"/>
    <s v="65 Palmerston Street"/>
    <s v="Perth"/>
    <x v="2"/>
    <x v="1"/>
    <x v="5"/>
    <x v="2"/>
    <x v="69"/>
    <x v="0"/>
    <s v="Wrap Bag"/>
    <x v="0"/>
    <d v="2014-09-10T00:00:00"/>
    <n v="2.98"/>
    <n v="5.84"/>
    <n v="2.86"/>
    <n v="22"/>
    <n v="128.47999999999999"/>
    <n v="0.1"/>
    <n v="12.847999999999999"/>
    <n v="115.63199999999999"/>
    <n v="0.83"/>
    <n v="116.46199999999999"/>
  </r>
  <r>
    <s v="5607-1"/>
    <d v="2014-09-04T00:00:00"/>
    <x v="1"/>
    <x v="103"/>
    <s v="Westfield Sydney,Sydney"/>
    <s v="Sydney"/>
    <x v="1"/>
    <x v="1"/>
    <x v="5"/>
    <x v="3"/>
    <x v="89"/>
    <x v="0"/>
    <s v="Small Pack"/>
    <x v="0"/>
    <d v="2014-09-05T00:00:00"/>
    <n v="2.5"/>
    <n v="5.68"/>
    <n v="3.1799999999999997"/>
    <n v="23"/>
    <n v="130.63999999999999"/>
    <n v="0.01"/>
    <n v="1.3063999999999998"/>
    <n v="129.33359999999999"/>
    <n v="3.6"/>
    <n v="132.93359999999998"/>
  </r>
  <r>
    <s v="5609-1"/>
    <d v="2014-09-07T00:00:00"/>
    <x v="1"/>
    <x v="53"/>
    <s v="14/76 Newcastle Street"/>
    <s v="Perth"/>
    <x v="2"/>
    <x v="0"/>
    <x v="11"/>
    <x v="3"/>
    <x v="38"/>
    <x v="0"/>
    <s v="Small Box"/>
    <x v="0"/>
    <d v="2014-09-07T00:00:00"/>
    <n v="1.18"/>
    <n v="1.88"/>
    <n v="0.7"/>
    <n v="47"/>
    <n v="88.36"/>
    <n v="0.06"/>
    <n v="5.3015999999999996"/>
    <n v="83.058400000000006"/>
    <n v="1.49"/>
    <n v="84.548400000000001"/>
  </r>
  <r>
    <s v="5609-2"/>
    <d v="2014-09-07T00:00:00"/>
    <x v="1"/>
    <x v="53"/>
    <s v="14/76 Newcastle Street"/>
    <s v="Perth"/>
    <x v="2"/>
    <x v="0"/>
    <x v="11"/>
    <x v="3"/>
    <x v="64"/>
    <x v="0"/>
    <s v="Wrap Bag"/>
    <x v="0"/>
    <d v="2014-09-09T00:00:00"/>
    <n v="1.31"/>
    <n v="2.84"/>
    <n v="1.5299999999999998"/>
    <n v="39"/>
    <n v="110.75999999999999"/>
    <n v="0.08"/>
    <n v="8.8607999999999993"/>
    <n v="101.89919999999999"/>
    <n v="0.93"/>
    <n v="102.8292"/>
  </r>
  <r>
    <s v="5612-1"/>
    <d v="2014-09-10T00:00:00"/>
    <x v="1"/>
    <x v="151"/>
    <s v="8/2 Edward Street"/>
    <s v="Perth"/>
    <x v="2"/>
    <x v="1"/>
    <x v="5"/>
    <x v="3"/>
    <x v="102"/>
    <x v="2"/>
    <s v="Small Pack"/>
    <x v="0"/>
    <d v="2014-09-12T00:00:00"/>
    <n v="11.38"/>
    <n v="18.649999999999999"/>
    <n v="7.2699999999999978"/>
    <n v="7"/>
    <n v="130.54999999999998"/>
    <n v="0.01"/>
    <n v="1.3054999999999999"/>
    <n v="129.24449999999999"/>
    <n v="3.77"/>
    <n v="133.0145"/>
  </r>
  <r>
    <s v="5613-1"/>
    <d v="2014-09-11T00:00:00"/>
    <x v="1"/>
    <x v="270"/>
    <s v="499-501 Lygon Street,Carlton North"/>
    <s v="Melbourne"/>
    <x v="0"/>
    <x v="0"/>
    <x v="0"/>
    <x v="1"/>
    <x v="81"/>
    <x v="0"/>
    <s v="Wrap Bag"/>
    <x v="0"/>
    <d v="2014-09-13T00:00:00"/>
    <n v="0.93"/>
    <n v="1.48"/>
    <n v="0.54999999999999993"/>
    <n v="15"/>
    <n v="22.2"/>
    <n v="0.03"/>
    <n v="0.66599999999999993"/>
    <n v="21.533999999999999"/>
    <n v="0.7"/>
    <n v="22.233999999999998"/>
  </r>
  <r>
    <s v="5615-1"/>
    <d v="2014-09-12T00:00:00"/>
    <x v="1"/>
    <x v="289"/>
    <s v="2a/285A Crown St,Surry Hills"/>
    <s v="Sydney"/>
    <x v="1"/>
    <x v="1"/>
    <x v="4"/>
    <x v="1"/>
    <x v="126"/>
    <x v="0"/>
    <s v="Wrap Bag"/>
    <x v="0"/>
    <d v="2014-09-13T00:00:00"/>
    <n v="1.0900000000000001"/>
    <n v="1.82"/>
    <n v="0.73"/>
    <n v="36"/>
    <n v="65.52"/>
    <n v="0.09"/>
    <n v="5.8967999999999998"/>
    <n v="59.623199999999997"/>
    <n v="1"/>
    <n v="60.623199999999997"/>
  </r>
  <r>
    <s v="5616-1"/>
    <d v="2014-09-12T00:00:00"/>
    <x v="1"/>
    <x v="290"/>
    <s v="273 George Street,Sydney"/>
    <s v="Sydney"/>
    <x v="1"/>
    <x v="2"/>
    <x v="2"/>
    <x v="2"/>
    <x v="90"/>
    <x v="0"/>
    <s v="Small Box"/>
    <x v="0"/>
    <d v="2014-09-19T00:00:00"/>
    <n v="14.95"/>
    <n v="34.76"/>
    <n v="19.809999999999999"/>
    <n v="34"/>
    <n v="1181.8399999999999"/>
    <n v="0.03"/>
    <n v="35.455199999999998"/>
    <n v="1146.3847999999998"/>
    <n v="8.2200000000000006"/>
    <n v="1154.6047999999998"/>
  </r>
  <r>
    <s v="5618-1"/>
    <d v="2014-09-13T00:00:00"/>
    <x v="1"/>
    <x v="17"/>
    <s v="188 Pitt Street,Sydney"/>
    <s v="Sydney"/>
    <x v="1"/>
    <x v="3"/>
    <x v="8"/>
    <x v="2"/>
    <x v="94"/>
    <x v="0"/>
    <s v="Small Box"/>
    <x v="0"/>
    <d v="2014-09-17T00:00:00"/>
    <n v="4.53"/>
    <n v="7.3"/>
    <n v="2.7699999999999996"/>
    <n v="26"/>
    <n v="189.79999999999998"/>
    <n v="0.03"/>
    <n v="5.6939999999999991"/>
    <n v="184.10599999999999"/>
    <n v="7.72"/>
    <n v="191.82599999999999"/>
  </r>
  <r>
    <s v="5619-1"/>
    <d v="2014-09-17T00:00:00"/>
    <x v="1"/>
    <x v="291"/>
    <s v="27/580 Hay Street, Perth"/>
    <s v="Sydney"/>
    <x v="1"/>
    <x v="1"/>
    <x v="3"/>
    <x v="1"/>
    <x v="77"/>
    <x v="0"/>
    <s v="Small Box"/>
    <x v="0"/>
    <d v="2014-09-18T00:00:00"/>
    <n v="2.2599999999999998"/>
    <n v="3.58"/>
    <n v="1.3200000000000003"/>
    <n v="19"/>
    <n v="68.02"/>
    <n v="0"/>
    <n v="0"/>
    <n v="68.02"/>
    <n v="5.47"/>
    <n v="73.489999999999995"/>
  </r>
  <r>
    <s v="5621-1"/>
    <d v="2014-09-21T00:00:00"/>
    <x v="1"/>
    <x v="292"/>
    <s v="506 Swan Street,Richmond"/>
    <s v="Melbourne"/>
    <x v="0"/>
    <x v="2"/>
    <x v="1"/>
    <x v="4"/>
    <x v="33"/>
    <x v="1"/>
    <s v="Small Box"/>
    <x v="0"/>
    <d v="2014-09-23T00:00:00"/>
    <n v="19.78"/>
    <n v="45.99"/>
    <n v="26.21"/>
    <n v="23"/>
    <n v="1057.77"/>
    <n v="0.1"/>
    <n v="105.777"/>
    <n v="951.99299999999994"/>
    <n v="4.99"/>
    <n v="956.98299999999995"/>
  </r>
  <r>
    <s v="5621-2"/>
    <d v="2014-09-21T00:00:00"/>
    <x v="1"/>
    <x v="292"/>
    <s v="506 Swan Street,Richmond"/>
    <s v="Melbourne"/>
    <x v="0"/>
    <x v="2"/>
    <x v="1"/>
    <x v="4"/>
    <x v="81"/>
    <x v="0"/>
    <s v="Wrap Bag"/>
    <x v="0"/>
    <d v="2014-09-22T00:00:00"/>
    <n v="0.93"/>
    <n v="1.48"/>
    <n v="0.54999999999999993"/>
    <n v="33"/>
    <n v="48.839999999999996"/>
    <n v="0.06"/>
    <n v="2.9303999999999997"/>
    <n v="45.909599999999998"/>
    <n v="0.7"/>
    <n v="46.6096"/>
  </r>
  <r>
    <s v="5625-1"/>
    <d v="2014-09-23T00:00:00"/>
    <x v="1"/>
    <x v="293"/>
    <s v="412 Brunswick St,Fitzroy"/>
    <s v="Melbourne"/>
    <x v="0"/>
    <x v="1"/>
    <x v="1"/>
    <x v="0"/>
    <x v="62"/>
    <x v="0"/>
    <s v="Wrap Bag"/>
    <x v="1"/>
    <d v="2014-09-25T00:00:00"/>
    <n v="4.37"/>
    <n v="9.11"/>
    <n v="4.7399999999999993"/>
    <n v="48"/>
    <n v="437.28"/>
    <n v="0.06"/>
    <n v="26.236799999999999"/>
    <n v="411.04319999999996"/>
    <n v="2.25"/>
    <n v="413.29319999999996"/>
  </r>
  <r>
    <s v="5627-1"/>
    <d v="2014-09-27T00:00:00"/>
    <x v="1"/>
    <x v="294"/>
    <s v="101 Murray Street"/>
    <s v="Perth"/>
    <x v="2"/>
    <x v="1"/>
    <x v="8"/>
    <x v="2"/>
    <x v="19"/>
    <x v="0"/>
    <s v="Small Pack"/>
    <x v="0"/>
    <d v="2014-10-02T00:00:00"/>
    <n v="0.94"/>
    <n v="2.08"/>
    <n v="1.1400000000000001"/>
    <n v="36"/>
    <n v="74.88"/>
    <n v="0.01"/>
    <n v="0.74880000000000002"/>
    <n v="74.131199999999993"/>
    <n v="2.56"/>
    <n v="76.691199999999995"/>
  </r>
  <r>
    <s v="5629-1"/>
    <d v="2014-09-28T00:00:00"/>
    <x v="1"/>
    <x v="295"/>
    <s v="81 MacLeay St,Potts Point"/>
    <s v="Sydney"/>
    <x v="1"/>
    <x v="1"/>
    <x v="6"/>
    <x v="0"/>
    <x v="129"/>
    <x v="0"/>
    <s v="Wrap Bag"/>
    <x v="0"/>
    <d v="2014-09-29T00:00:00"/>
    <n v="1.53"/>
    <n v="2.4700000000000002"/>
    <n v="0.94000000000000017"/>
    <n v="49"/>
    <n v="121.03000000000002"/>
    <n v="0.03"/>
    <n v="3.6309000000000005"/>
    <n v="117.39910000000002"/>
    <n v="1.02"/>
    <n v="118.41910000000001"/>
  </r>
  <r>
    <s v="5630-1"/>
    <d v="2014-09-28T00:00:00"/>
    <x v="1"/>
    <x v="296"/>
    <s v="Hoyts Entertainment Quarter 122 Lang Road,Moore Park"/>
    <s v="Sydney"/>
    <x v="1"/>
    <x v="0"/>
    <x v="8"/>
    <x v="0"/>
    <x v="28"/>
    <x v="0"/>
    <s v="Wrap Bag"/>
    <x v="0"/>
    <d v="2014-09-29T00:00:00"/>
    <n v="3.47"/>
    <n v="6.68"/>
    <n v="3.2099999999999995"/>
    <n v="16"/>
    <n v="106.88"/>
    <n v="0.1"/>
    <n v="10.688000000000001"/>
    <n v="96.191999999999993"/>
    <n v="1.5"/>
    <n v="97.691999999999993"/>
  </r>
  <r>
    <s v="5631-1"/>
    <d v="2014-09-29T00:00:00"/>
    <x v="1"/>
    <x v="246"/>
    <s v="32 Wellington Street"/>
    <s v="Perth"/>
    <x v="2"/>
    <x v="3"/>
    <x v="8"/>
    <x v="2"/>
    <x v="12"/>
    <x v="0"/>
    <s v="Wrap Bag"/>
    <x v="0"/>
    <d v="2014-09-29T00:00:00"/>
    <n v="0.71"/>
    <n v="1.1399999999999999"/>
    <n v="0.42999999999999994"/>
    <n v="8"/>
    <n v="9.1199999999999992"/>
    <n v="0"/>
    <n v="0"/>
    <n v="9.1199999999999992"/>
    <n v="0.7"/>
    <n v="9.8199999999999985"/>
  </r>
  <r>
    <s v="5633-1"/>
    <d v="2014-10-01T00:00:00"/>
    <x v="1"/>
    <x v="0"/>
    <s v="221 Barkly St,St Kilda"/>
    <s v="Melbourne"/>
    <x v="0"/>
    <x v="0"/>
    <x v="0"/>
    <x v="0"/>
    <x v="24"/>
    <x v="1"/>
    <s v="Small Box"/>
    <x v="0"/>
    <d v="2014-10-03T00:00:00"/>
    <n v="39.64"/>
    <n v="152.47999999999999"/>
    <n v="112.83999999999999"/>
    <n v="48"/>
    <n v="7319.0399999999991"/>
    <n v="0.04"/>
    <n v="292.76159999999999"/>
    <n v="7026.2783999999992"/>
    <n v="6.5"/>
    <n v="7032.7783999999992"/>
  </r>
  <r>
    <s v="5635-1"/>
    <d v="2014-10-01T00:00:00"/>
    <x v="1"/>
    <x v="297"/>
    <s v="Sydney Fish Market, Bank Street, Sydney"/>
    <s v="Sydney"/>
    <x v="1"/>
    <x v="1"/>
    <x v="4"/>
    <x v="3"/>
    <x v="55"/>
    <x v="0"/>
    <s v="Wrap Bag"/>
    <x v="1"/>
    <d v="2014-10-02T00:00:00"/>
    <n v="11.11"/>
    <n v="19.84"/>
    <n v="8.73"/>
    <n v="15"/>
    <n v="297.60000000000002"/>
    <n v="0"/>
    <n v="0"/>
    <n v="297.60000000000002"/>
    <n v="4.0999999999999996"/>
    <n v="301.70000000000005"/>
  </r>
  <r>
    <s v="5637-1"/>
    <d v="2014-10-02T00:00:00"/>
    <x v="1"/>
    <x v="298"/>
    <s v="6 Mary St,Newtown"/>
    <s v="Sydney"/>
    <x v="1"/>
    <x v="0"/>
    <x v="6"/>
    <x v="0"/>
    <x v="97"/>
    <x v="0"/>
    <s v="Small Box"/>
    <x v="0"/>
    <d v="2014-10-04T00:00:00"/>
    <n v="2.29"/>
    <n v="3.69"/>
    <n v="1.4"/>
    <n v="30"/>
    <n v="110.7"/>
    <n v="0.09"/>
    <n v="9.9629999999999992"/>
    <n v="100.73700000000001"/>
    <n v="0.5"/>
    <n v="101.23700000000001"/>
  </r>
  <r>
    <s v="5639-1"/>
    <d v="2014-10-02T00:00:00"/>
    <x v="1"/>
    <x v="236"/>
    <s v="22 St Georges Terrace"/>
    <s v="Perth"/>
    <x v="2"/>
    <x v="1"/>
    <x v="5"/>
    <x v="0"/>
    <x v="118"/>
    <x v="0"/>
    <s v="Small Box"/>
    <x v="0"/>
    <d v="2014-10-04T00:00:00"/>
    <n v="21.97"/>
    <n v="35.44"/>
    <n v="13.469999999999999"/>
    <n v="29"/>
    <n v="1027.76"/>
    <n v="0.03"/>
    <n v="30.832799999999999"/>
    <n v="996.92719999999997"/>
    <n v="4.92"/>
    <n v="1001.8471999999999"/>
  </r>
  <r>
    <s v="5641-1"/>
    <d v="2014-10-03T00:00:00"/>
    <x v="1"/>
    <x v="293"/>
    <s v="412 Brunswick St,Fitzroy"/>
    <s v="Melbourne"/>
    <x v="0"/>
    <x v="1"/>
    <x v="1"/>
    <x v="3"/>
    <x v="12"/>
    <x v="0"/>
    <s v="Wrap Bag"/>
    <x v="0"/>
    <d v="2014-10-05T00:00:00"/>
    <n v="0.71"/>
    <n v="1.1399999999999999"/>
    <n v="0.42999999999999994"/>
    <n v="4"/>
    <n v="4.5599999999999996"/>
    <n v="0"/>
    <n v="0"/>
    <n v="4.5599999999999996"/>
    <n v="0.7"/>
    <n v="5.26"/>
  </r>
  <r>
    <s v="5643-1"/>
    <d v="2014-10-04T00:00:00"/>
    <x v="1"/>
    <x v="120"/>
    <s v="Sydney Fish Market, Bank Street, Sydney"/>
    <s v="Sydney"/>
    <x v="1"/>
    <x v="2"/>
    <x v="4"/>
    <x v="2"/>
    <x v="61"/>
    <x v="0"/>
    <s v="Small Box"/>
    <x v="1"/>
    <d v="2014-10-11T00:00:00"/>
    <n v="2.74"/>
    <n v="4.49"/>
    <n v="1.75"/>
    <n v="44"/>
    <n v="197.56"/>
    <n v="0.03"/>
    <n v="5.9268000000000001"/>
    <n v="191.63319999999999"/>
    <n v="1.49"/>
    <n v="193.1232"/>
  </r>
  <r>
    <s v="5644-1"/>
    <d v="2014-10-04T00:00:00"/>
    <x v="1"/>
    <x v="186"/>
    <s v="27/580 Hay Street"/>
    <s v="Perth"/>
    <x v="2"/>
    <x v="0"/>
    <x v="8"/>
    <x v="2"/>
    <x v="48"/>
    <x v="1"/>
    <s v="Small Pack"/>
    <x v="0"/>
    <d v="2014-10-06T00:00:00"/>
    <n v="20.18"/>
    <n v="35.409999999999997"/>
    <n v="15.229999999999997"/>
    <n v="5"/>
    <n v="177.04999999999998"/>
    <n v="0"/>
    <n v="0"/>
    <n v="177.04999999999998"/>
    <n v="1.99"/>
    <n v="179.04"/>
  </r>
  <r>
    <s v="5645-1"/>
    <d v="2014-10-06T00:00:00"/>
    <x v="1"/>
    <x v="206"/>
    <s v="541 Church St,Richmond"/>
    <s v="Melbourne"/>
    <x v="0"/>
    <x v="2"/>
    <x v="0"/>
    <x v="1"/>
    <x v="73"/>
    <x v="0"/>
    <s v="Small Box"/>
    <x v="0"/>
    <d v="2014-10-07T00:00:00"/>
    <n v="1.94"/>
    <n v="3.08"/>
    <n v="1.1400000000000001"/>
    <n v="46"/>
    <n v="141.68"/>
    <n v="0.04"/>
    <n v="5.6672000000000002"/>
    <n v="136.0128"/>
    <n v="0.99"/>
    <n v="137.00280000000001"/>
  </r>
  <r>
    <s v="5646-1"/>
    <d v="2014-10-08T00:00:00"/>
    <x v="1"/>
    <x v="36"/>
    <s v="4A Lyons St,Strathfield"/>
    <s v="Sydney"/>
    <x v="1"/>
    <x v="1"/>
    <x v="8"/>
    <x v="0"/>
    <x v="36"/>
    <x v="2"/>
    <s v="Small Pack"/>
    <x v="0"/>
    <d v="2014-10-10T00:00:00"/>
    <n v="5.5"/>
    <n v="12.22"/>
    <n v="6.7200000000000006"/>
    <n v="1"/>
    <n v="12.22"/>
    <n v="0.1"/>
    <n v="1.2220000000000002"/>
    <n v="10.998000000000001"/>
    <n v="2.85"/>
    <n v="13.848000000000001"/>
  </r>
  <r>
    <s v="5647-1"/>
    <d v="2014-10-09T00:00:00"/>
    <x v="1"/>
    <x v="299"/>
    <s v="Macquarie Centre Cnr Herring Road &amp; Waterloo Road,Macquarie Park"/>
    <s v="Sydney"/>
    <x v="1"/>
    <x v="2"/>
    <x v="3"/>
    <x v="0"/>
    <x v="116"/>
    <x v="0"/>
    <s v="Small Pack"/>
    <x v="0"/>
    <d v="2014-10-09T00:00:00"/>
    <n v="4.1900000000000004"/>
    <n v="10.23"/>
    <n v="6.04"/>
    <n v="37"/>
    <n v="378.51"/>
    <n v="0.08"/>
    <n v="30.280799999999999"/>
    <n v="348.22919999999999"/>
    <n v="4.68"/>
    <n v="352.9092"/>
  </r>
  <r>
    <s v="5648-1"/>
    <d v="2014-10-10T00:00:00"/>
    <x v="1"/>
    <x v="226"/>
    <s v="53-55 Liverpool St,Sydney"/>
    <s v="Sydney"/>
    <x v="1"/>
    <x v="1"/>
    <x v="8"/>
    <x v="2"/>
    <x v="136"/>
    <x v="0"/>
    <s v="Small Box"/>
    <x v="0"/>
    <d v="2014-10-17T00:00:00"/>
    <n v="1.19"/>
    <n v="1.98"/>
    <n v="0.79"/>
    <n v="38"/>
    <n v="75.239999999999995"/>
    <n v="0.05"/>
    <n v="3.762"/>
    <n v="71.477999999999994"/>
    <n v="4.7699999999999996"/>
    <n v="76.24799999999999"/>
  </r>
  <r>
    <s v="5650-1"/>
    <d v="2014-10-11T00:00:00"/>
    <x v="1"/>
    <x v="300"/>
    <s v="14 Knebworth Avenue, Perth"/>
    <s v="Sydney"/>
    <x v="1"/>
    <x v="0"/>
    <x v="4"/>
    <x v="4"/>
    <x v="55"/>
    <x v="0"/>
    <s v="Wrap Bag"/>
    <x v="0"/>
    <d v="2014-10-11T00:00:00"/>
    <n v="11.11"/>
    <n v="19.84"/>
    <n v="8.73"/>
    <n v="43"/>
    <n v="853.12"/>
    <n v="0.03"/>
    <n v="25.593599999999999"/>
    <n v="827.52639999999997"/>
    <n v="4.0999999999999996"/>
    <n v="831.62639999999999"/>
  </r>
  <r>
    <s v="5651-1"/>
    <d v="2014-10-15T00:00:00"/>
    <x v="1"/>
    <x v="301"/>
    <s v="501 George St,Sydney"/>
    <s v="Sydney"/>
    <x v="1"/>
    <x v="0"/>
    <x v="6"/>
    <x v="2"/>
    <x v="112"/>
    <x v="0"/>
    <s v="Small Box"/>
    <x v="1"/>
    <d v="2014-10-19T00:00:00"/>
    <n v="52.07"/>
    <n v="83.98"/>
    <n v="31.910000000000004"/>
    <n v="34"/>
    <n v="2855.32"/>
    <n v="0.06"/>
    <n v="171.3192"/>
    <n v="2684.0008000000003"/>
    <n v="5.01"/>
    <n v="2689.0108000000005"/>
  </r>
  <r>
    <s v="5653-1"/>
    <d v="2014-10-16T00:00:00"/>
    <x v="1"/>
    <x v="0"/>
    <s v="221 Barkly St,St Kilda"/>
    <s v="Melbourne"/>
    <x v="0"/>
    <x v="0"/>
    <x v="0"/>
    <x v="1"/>
    <x v="20"/>
    <x v="0"/>
    <s v="Wrap Bag"/>
    <x v="0"/>
    <d v="2014-10-17T00:00:00"/>
    <n v="2.52"/>
    <n v="4"/>
    <n v="1.48"/>
    <n v="36"/>
    <n v="144"/>
    <n v="0.01"/>
    <n v="1.44"/>
    <n v="142.56"/>
    <n v="1.3"/>
    <n v="143.86000000000001"/>
  </r>
  <r>
    <s v="5655-1"/>
    <d v="2014-10-17T00:00:00"/>
    <x v="1"/>
    <x v="302"/>
    <s v="8 Rankins Lane ,Melbourne"/>
    <s v="Melbourne"/>
    <x v="0"/>
    <x v="0"/>
    <x v="1"/>
    <x v="4"/>
    <x v="85"/>
    <x v="0"/>
    <s v="Small Pack"/>
    <x v="0"/>
    <d v="2014-10-17T00:00:00"/>
    <n v="5.19"/>
    <n v="12.98"/>
    <n v="7.79"/>
    <n v="11"/>
    <n v="142.78"/>
    <n v="0.08"/>
    <n v="11.4224"/>
    <n v="131.35759999999999"/>
    <n v="3.14"/>
    <n v="134.49759999999998"/>
  </r>
  <r>
    <s v="5655-2"/>
    <d v="2014-10-17T00:00:00"/>
    <x v="1"/>
    <x v="302"/>
    <s v="8 Rankins Lane ,Melbourne"/>
    <s v="Melbourne"/>
    <x v="0"/>
    <x v="0"/>
    <x v="1"/>
    <x v="4"/>
    <x v="20"/>
    <x v="0"/>
    <s v="Wrap Bag"/>
    <x v="0"/>
    <d v="2014-10-19T00:00:00"/>
    <n v="2.52"/>
    <n v="4"/>
    <n v="1.48"/>
    <n v="19"/>
    <n v="76"/>
    <n v="0.01"/>
    <n v="0.76"/>
    <n v="75.239999999999995"/>
    <n v="1.3"/>
    <n v="76.539999999999992"/>
  </r>
  <r>
    <s v="5658-1"/>
    <d v="2014-10-18T00:00:00"/>
    <x v="1"/>
    <x v="0"/>
    <s v="221 Barkly St,St Kilda"/>
    <s v="Melbourne"/>
    <x v="0"/>
    <x v="0"/>
    <x v="0"/>
    <x v="3"/>
    <x v="40"/>
    <x v="0"/>
    <s v="Small Box"/>
    <x v="0"/>
    <d v="2014-10-20T00:00:00"/>
    <n v="3.84"/>
    <n v="6.3"/>
    <n v="2.46"/>
    <n v="8"/>
    <n v="50.4"/>
    <n v="0.01"/>
    <n v="0.504"/>
    <n v="49.896000000000001"/>
    <n v="0.5"/>
    <n v="50.396000000000001"/>
  </r>
  <r>
    <s v="5659-1"/>
    <d v="2014-10-19T00:00:00"/>
    <x v="1"/>
    <x v="303"/>
    <s v="65 Palmerston Street, Perth"/>
    <s v="Melbourne"/>
    <x v="0"/>
    <x v="1"/>
    <x v="0"/>
    <x v="0"/>
    <x v="71"/>
    <x v="0"/>
    <s v="Small Box"/>
    <x v="1"/>
    <d v="2014-10-20T00:00:00"/>
    <n v="4.46"/>
    <n v="10.89"/>
    <n v="6.4300000000000006"/>
    <n v="4"/>
    <n v="43.56"/>
    <n v="0.05"/>
    <n v="2.1780000000000004"/>
    <n v="41.382000000000005"/>
    <n v="4.5"/>
    <n v="45.882000000000005"/>
  </r>
  <r>
    <s v="5661-1"/>
    <d v="2014-10-20T00:00:00"/>
    <x v="1"/>
    <x v="292"/>
    <s v="506 Swan Street,Richmond"/>
    <s v="Melbourne"/>
    <x v="0"/>
    <x v="3"/>
    <x v="1"/>
    <x v="3"/>
    <x v="25"/>
    <x v="1"/>
    <s v="Small Box"/>
    <x v="0"/>
    <d v="2014-10-22T00:00:00"/>
    <n v="8.31"/>
    <n v="15.98"/>
    <n v="7.67"/>
    <n v="38"/>
    <n v="607.24"/>
    <n v="0.1"/>
    <n v="60.724000000000004"/>
    <n v="546.51599999999996"/>
    <n v="6.5"/>
    <n v="553.01599999999996"/>
  </r>
  <r>
    <s v="5663-1"/>
    <d v="2014-10-21T00:00:00"/>
    <x v="1"/>
    <x v="304"/>
    <s v="2/86 Enmore Rd,Enmore"/>
    <s v="Sydney"/>
    <x v="1"/>
    <x v="2"/>
    <x v="6"/>
    <x v="3"/>
    <x v="137"/>
    <x v="0"/>
    <s v="Wrap Bag"/>
    <x v="0"/>
    <d v="2014-10-22T00:00:00"/>
    <n v="4.4800000000000004"/>
    <n v="8.14"/>
    <n v="3.66"/>
    <n v="46"/>
    <n v="374.44000000000005"/>
    <n v="0"/>
    <n v="0"/>
    <n v="374.44000000000005"/>
    <n v="3.12"/>
    <n v="377.56000000000006"/>
  </r>
  <r>
    <s v="5665-1"/>
    <d v="2014-10-21T00:00:00"/>
    <x v="1"/>
    <x v="270"/>
    <s v="499-501 Lygon Street,Carlton North"/>
    <s v="Melbourne"/>
    <x v="0"/>
    <x v="1"/>
    <x v="0"/>
    <x v="4"/>
    <x v="26"/>
    <x v="0"/>
    <s v="Small Pack"/>
    <x v="0"/>
    <d v="2014-10-21T00:00:00"/>
    <n v="4.79"/>
    <n v="11.97"/>
    <n v="7.1800000000000006"/>
    <n v="8"/>
    <n v="95.76"/>
    <n v="0.03"/>
    <n v="2.8728000000000002"/>
    <n v="92.887200000000007"/>
    <n v="5.81"/>
    <n v="98.697200000000009"/>
  </r>
  <r>
    <s v="5667-1"/>
    <d v="2014-10-22T00:00:00"/>
    <x v="1"/>
    <x v="229"/>
    <s v="499-501 Lygon Street,Carlton North"/>
    <s v="Melbourne"/>
    <x v="0"/>
    <x v="2"/>
    <x v="0"/>
    <x v="0"/>
    <x v="54"/>
    <x v="0"/>
    <s v="Small Box"/>
    <x v="0"/>
    <d v="2014-10-23T00:00:00"/>
    <n v="3.4"/>
    <n v="5.4"/>
    <n v="2.0000000000000004"/>
    <n v="22"/>
    <n v="118.80000000000001"/>
    <n v="0.1"/>
    <n v="11.880000000000003"/>
    <n v="106.92000000000002"/>
    <n v="7.78"/>
    <n v="114.70000000000002"/>
  </r>
  <r>
    <s v="5669-1"/>
    <d v="2014-10-23T00:00:00"/>
    <x v="1"/>
    <x v="305"/>
    <s v="145 Ramsay St,Haberfield"/>
    <s v="Sydney"/>
    <x v="1"/>
    <x v="1"/>
    <x v="4"/>
    <x v="3"/>
    <x v="45"/>
    <x v="0"/>
    <s v="Small Box"/>
    <x v="0"/>
    <d v="2014-10-25T00:00:00"/>
    <n v="8.92"/>
    <n v="29.74"/>
    <n v="20.82"/>
    <n v="19"/>
    <n v="565.05999999999995"/>
    <n v="0.1"/>
    <n v="56.506"/>
    <n v="508.55399999999997"/>
    <n v="6.64"/>
    <n v="515.19399999999996"/>
  </r>
  <r>
    <s v="5670-1"/>
    <d v="2014-10-26T00:00:00"/>
    <x v="1"/>
    <x v="306"/>
    <s v="188 Pitt Street,Sydney"/>
    <s v="Sydney"/>
    <x v="1"/>
    <x v="0"/>
    <x v="8"/>
    <x v="4"/>
    <x v="70"/>
    <x v="0"/>
    <s v="Small Box"/>
    <x v="0"/>
    <d v="2014-10-27T00:00:00"/>
    <n v="3.65"/>
    <n v="5.98"/>
    <n v="2.3300000000000005"/>
    <n v="19"/>
    <n v="113.62"/>
    <n v="0.01"/>
    <n v="1.1362000000000001"/>
    <n v="112.4838"/>
    <n v="1.49"/>
    <n v="113.9738"/>
  </r>
  <r>
    <s v="5671-1"/>
    <d v="2014-10-27T00:00:00"/>
    <x v="1"/>
    <x v="262"/>
    <s v="180 High Street,Windsor"/>
    <s v="Melbourne"/>
    <x v="0"/>
    <x v="2"/>
    <x v="1"/>
    <x v="2"/>
    <x v="113"/>
    <x v="0"/>
    <s v="Wrap Bag"/>
    <x v="0"/>
    <d v="2014-10-31T00:00:00"/>
    <n v="2.16"/>
    <n v="3.85"/>
    <n v="1.69"/>
    <n v="10"/>
    <n v="38.5"/>
    <n v="0.06"/>
    <n v="2.31"/>
    <n v="36.19"/>
    <n v="0.7"/>
    <n v="36.89"/>
  </r>
  <r>
    <s v="5672-1"/>
    <d v="2014-10-28T00:00:00"/>
    <x v="1"/>
    <x v="53"/>
    <s v="14/76 Newcastle Street"/>
    <s v="Perth"/>
    <x v="2"/>
    <x v="0"/>
    <x v="11"/>
    <x v="4"/>
    <x v="138"/>
    <x v="1"/>
    <s v="Small Box"/>
    <x v="0"/>
    <d v="2014-10-29T00:00:00"/>
    <n v="17.84"/>
    <n v="34.99"/>
    <n v="17.150000000000002"/>
    <n v="29"/>
    <n v="1014.71"/>
    <n v="0.09"/>
    <n v="91.323899999999995"/>
    <n v="923.38610000000006"/>
    <n v="5.5"/>
    <n v="928.88610000000006"/>
  </r>
  <r>
    <s v="5674-1"/>
    <d v="2014-10-29T00:00:00"/>
    <x v="1"/>
    <x v="307"/>
    <s v="2/797 Botany Rd,Rosebery"/>
    <s v="Sydney"/>
    <x v="1"/>
    <x v="1"/>
    <x v="6"/>
    <x v="0"/>
    <x v="26"/>
    <x v="0"/>
    <s v="Small Pack"/>
    <x v="0"/>
    <d v="2014-10-31T00:00:00"/>
    <n v="4.79"/>
    <n v="11.97"/>
    <n v="7.1800000000000006"/>
    <n v="23"/>
    <n v="275.31"/>
    <n v="0.01"/>
    <n v="2.7530999999999999"/>
    <n v="272.55689999999998"/>
    <n v="5.81"/>
    <n v="278.36689999999999"/>
  </r>
  <r>
    <s v="5676-1"/>
    <d v="2014-11-01T00:00:00"/>
    <x v="1"/>
    <x v="308"/>
    <s v="Sydney Fish Market, Bank Street, Sydney"/>
    <s v="Sydney"/>
    <x v="1"/>
    <x v="3"/>
    <x v="4"/>
    <x v="3"/>
    <x v="112"/>
    <x v="0"/>
    <s v="Small Box"/>
    <x v="0"/>
    <d v="2014-11-03T00:00:00"/>
    <n v="52.07"/>
    <n v="83.98"/>
    <n v="31.910000000000004"/>
    <n v="24"/>
    <n v="2015.52"/>
    <n v="0.05"/>
    <n v="100.77600000000001"/>
    <n v="1914.7439999999999"/>
    <n v="5.01"/>
    <n v="1919.7539999999999"/>
  </r>
  <r>
    <s v="5677-1"/>
    <d v="2014-11-02T00:00:00"/>
    <x v="1"/>
    <x v="309"/>
    <s v="5/250 Old Northern Road ,Castle Hill"/>
    <s v="Sydney"/>
    <x v="1"/>
    <x v="0"/>
    <x v="3"/>
    <x v="0"/>
    <x v="10"/>
    <x v="0"/>
    <s v="Small Box"/>
    <x v="0"/>
    <d v="2014-11-04T00:00:00"/>
    <n v="4.8899999999999997"/>
    <n v="7.64"/>
    <n v="2.75"/>
    <n v="12"/>
    <n v="91.679999999999993"/>
    <n v="0.02"/>
    <n v="1.8335999999999999"/>
    <n v="89.846399999999988"/>
    <n v="1.39"/>
    <n v="91.236399999999989"/>
  </r>
  <r>
    <s v="5679-1"/>
    <d v="2014-11-03T00:00:00"/>
    <x v="1"/>
    <x v="310"/>
    <s v="506 Swan Street,Richmond"/>
    <s v="Melbourne"/>
    <x v="0"/>
    <x v="2"/>
    <x v="1"/>
    <x v="2"/>
    <x v="20"/>
    <x v="0"/>
    <s v="Wrap Bag"/>
    <x v="0"/>
    <d v="2014-11-07T00:00:00"/>
    <n v="2.52"/>
    <n v="4"/>
    <n v="1.48"/>
    <n v="32"/>
    <n v="128"/>
    <n v="0.09"/>
    <n v="11.52"/>
    <n v="116.48"/>
    <n v="1.3"/>
    <n v="117.78"/>
  </r>
  <r>
    <s v="5680-1"/>
    <d v="2014-11-03T00:00:00"/>
    <x v="1"/>
    <x v="311"/>
    <s v="27/580 Hay Street, Perth"/>
    <s v="Sydney"/>
    <x v="1"/>
    <x v="2"/>
    <x v="12"/>
    <x v="4"/>
    <x v="68"/>
    <x v="1"/>
    <s v="Small Box"/>
    <x v="0"/>
    <d v="2014-11-04T00:00:00"/>
    <n v="6.51"/>
    <n v="30.98"/>
    <n v="24.47"/>
    <n v="12"/>
    <n v="371.76"/>
    <n v="0"/>
    <n v="0"/>
    <n v="371.76"/>
    <n v="6.5"/>
    <n v="378.26"/>
  </r>
  <r>
    <s v="5681-1"/>
    <d v="2014-11-07T00:00:00"/>
    <x v="1"/>
    <x v="236"/>
    <s v="22 St Georges Terrace"/>
    <s v="Perth"/>
    <x v="2"/>
    <x v="1"/>
    <x v="5"/>
    <x v="4"/>
    <x v="110"/>
    <x v="1"/>
    <s v="Large Box"/>
    <x v="1"/>
    <d v="2014-11-09T00:00:00"/>
    <n v="377.99"/>
    <n v="599.99"/>
    <n v="222"/>
    <n v="41"/>
    <n v="24599.59"/>
    <n v="7.0000000000000007E-2"/>
    <n v="1721.9713000000002"/>
    <n v="22877.618699999999"/>
    <n v="24.49"/>
    <n v="22902.108700000001"/>
  </r>
  <r>
    <s v="5682-1"/>
    <d v="2014-11-10T00:00:00"/>
    <x v="1"/>
    <x v="312"/>
    <s v="6/15 Cross Street,Double Bay"/>
    <s v="Sydney"/>
    <x v="1"/>
    <x v="0"/>
    <x v="2"/>
    <x v="0"/>
    <x v="110"/>
    <x v="1"/>
    <s v="Large Box"/>
    <x v="0"/>
    <d v="2014-11-12T00:00:00"/>
    <n v="377.99"/>
    <n v="599.99"/>
    <n v="222"/>
    <n v="20"/>
    <n v="11999.8"/>
    <n v="7.0000000000000007E-2"/>
    <n v="839.98599999999999"/>
    <n v="11159.813999999998"/>
    <n v="24.49"/>
    <n v="11184.303999999998"/>
  </r>
  <r>
    <s v="5684-1"/>
    <d v="2014-11-11T00:00:00"/>
    <x v="1"/>
    <x v="313"/>
    <s v="221 Barkly St,St Kilda"/>
    <s v="Melbourne"/>
    <x v="0"/>
    <x v="0"/>
    <x v="0"/>
    <x v="1"/>
    <x v="139"/>
    <x v="0"/>
    <s v="Wrap Bag"/>
    <x v="0"/>
    <d v="2014-11-12T00:00:00"/>
    <n v="0.94"/>
    <n v="1.88"/>
    <n v="0.94"/>
    <n v="36"/>
    <n v="67.679999999999993"/>
    <n v="0.1"/>
    <n v="6.7679999999999998"/>
    <n v="60.911999999999992"/>
    <n v="0.79"/>
    <n v="61.701999999999991"/>
  </r>
  <r>
    <s v="5685-1"/>
    <d v="2014-11-16T00:00:00"/>
    <x v="1"/>
    <x v="267"/>
    <s v="3/265 Stirling Street"/>
    <s v="Perth"/>
    <x v="2"/>
    <x v="2"/>
    <x v="4"/>
    <x v="3"/>
    <x v="93"/>
    <x v="1"/>
    <s v="Small Box"/>
    <x v="0"/>
    <d v="2014-11-18T00:00:00"/>
    <n v="62.4"/>
    <n v="155.99"/>
    <n v="93.59"/>
    <n v="6"/>
    <n v="935.94"/>
    <n v="0.02"/>
    <n v="18.718800000000002"/>
    <n v="917.22120000000007"/>
    <n v="8.08"/>
    <n v="925.30120000000011"/>
  </r>
  <r>
    <s v="5686-1"/>
    <d v="2014-11-16T00:00:00"/>
    <x v="1"/>
    <x v="314"/>
    <s v="181 Enmore Rd,Enmore"/>
    <s v="Sydney"/>
    <x v="1"/>
    <x v="2"/>
    <x v="13"/>
    <x v="2"/>
    <x v="71"/>
    <x v="0"/>
    <s v="Small Box"/>
    <x v="0"/>
    <d v="2014-11-21T00:00:00"/>
    <n v="4.46"/>
    <n v="10.89"/>
    <n v="6.4300000000000006"/>
    <n v="8"/>
    <n v="87.12"/>
    <n v="0.09"/>
    <n v="7.8407999999999998"/>
    <n v="79.279200000000003"/>
    <n v="4.5"/>
    <n v="83.779200000000003"/>
  </r>
  <r>
    <s v="5687-1"/>
    <d v="2014-11-17T00:00:00"/>
    <x v="1"/>
    <x v="9"/>
    <s v="48 Albion St,Surry Hills"/>
    <s v="Sydney"/>
    <x v="1"/>
    <x v="1"/>
    <x v="5"/>
    <x v="0"/>
    <x v="81"/>
    <x v="0"/>
    <s v="Wrap Bag"/>
    <x v="0"/>
    <d v="2014-11-19T00:00:00"/>
    <n v="0.93"/>
    <n v="1.48"/>
    <n v="0.54999999999999993"/>
    <n v="28"/>
    <n v="41.44"/>
    <n v="0.04"/>
    <n v="1.6576"/>
    <n v="39.782399999999996"/>
    <n v="0.7"/>
    <n v="40.482399999999998"/>
  </r>
  <r>
    <s v="5689-1"/>
    <d v="2014-11-18T00:00:00"/>
    <x v="1"/>
    <x v="297"/>
    <s v="Sydney Fish Market, Bank Street, Sydney"/>
    <s v="Sydney"/>
    <x v="1"/>
    <x v="1"/>
    <x v="4"/>
    <x v="1"/>
    <x v="64"/>
    <x v="0"/>
    <s v="Wrap Bag"/>
    <x v="0"/>
    <d v="2014-11-20T00:00:00"/>
    <n v="1.31"/>
    <n v="2.84"/>
    <n v="1.5299999999999998"/>
    <n v="12"/>
    <n v="34.08"/>
    <n v="0.1"/>
    <n v="3.4079999999999999"/>
    <n v="30.671999999999997"/>
    <n v="0.93"/>
    <n v="31.601999999999997"/>
  </r>
  <r>
    <s v="5690-1"/>
    <d v="2014-11-19T00:00:00"/>
    <x v="1"/>
    <x v="307"/>
    <s v="2/797 Botany Rd,Rosebery"/>
    <s v="Sydney"/>
    <x v="1"/>
    <x v="1"/>
    <x v="6"/>
    <x v="4"/>
    <x v="82"/>
    <x v="0"/>
    <s v="Small Box"/>
    <x v="1"/>
    <d v="2014-11-21T00:00:00"/>
    <n v="67.73"/>
    <n v="165.2"/>
    <n v="97.469999999999985"/>
    <n v="46"/>
    <n v="7599.2"/>
    <n v="0.02"/>
    <n v="151.98400000000001"/>
    <n v="7447.2159999999994"/>
    <n v="19.989999999999998"/>
    <n v="7467.2059999999992"/>
  </r>
  <r>
    <s v="5692-1"/>
    <d v="2014-11-21T00:00:00"/>
    <x v="1"/>
    <x v="100"/>
    <s v="4A Lyons St,Strathfield"/>
    <s v="Sydney"/>
    <x v="1"/>
    <x v="0"/>
    <x v="8"/>
    <x v="4"/>
    <x v="24"/>
    <x v="1"/>
    <s v="Small Box"/>
    <x v="0"/>
    <d v="2014-11-23T00:00:00"/>
    <n v="32.020000000000003"/>
    <n v="152.47999999999999"/>
    <n v="120.45999999999998"/>
    <n v="29"/>
    <n v="4421.92"/>
    <n v="0.09"/>
    <n v="397.97280000000001"/>
    <n v="4023.9472000000001"/>
    <n v="4"/>
    <n v="4027.9472000000001"/>
  </r>
  <r>
    <s v="5693-1"/>
    <d v="2014-11-22T00:00:00"/>
    <x v="1"/>
    <x v="315"/>
    <s v="485 Crown St,Surry Hills"/>
    <s v="Sydney"/>
    <x v="1"/>
    <x v="0"/>
    <x v="2"/>
    <x v="0"/>
    <x v="31"/>
    <x v="0"/>
    <s v="Small Box"/>
    <x v="0"/>
    <d v="2014-11-22T00:00:00"/>
    <n v="13.88"/>
    <n v="22.38"/>
    <n v="8.4999999999999982"/>
    <n v="10"/>
    <n v="223.79999999999998"/>
    <n v="0.01"/>
    <n v="2.238"/>
    <n v="221.56199999999998"/>
    <n v="15.1"/>
    <n v="236.66199999999998"/>
  </r>
  <r>
    <s v="5695-1"/>
    <d v="2014-11-22T00:00:00"/>
    <x v="1"/>
    <x v="170"/>
    <s v="Westfield Sydney,Sydney"/>
    <s v="Sydney"/>
    <x v="1"/>
    <x v="2"/>
    <x v="5"/>
    <x v="1"/>
    <x v="64"/>
    <x v="0"/>
    <s v="Wrap Bag"/>
    <x v="0"/>
    <d v="2014-11-24T00:00:00"/>
    <n v="1.31"/>
    <n v="2.84"/>
    <n v="1.5299999999999998"/>
    <n v="39"/>
    <n v="110.75999999999999"/>
    <n v="0.05"/>
    <n v="5.5380000000000003"/>
    <n v="105.22199999999999"/>
    <n v="0.93"/>
    <n v="106.152"/>
  </r>
  <r>
    <s v="5696-1"/>
    <d v="2014-11-23T00:00:00"/>
    <x v="1"/>
    <x v="316"/>
    <s v="184 King Street,Newtown"/>
    <s v="Sydney"/>
    <x v="1"/>
    <x v="3"/>
    <x v="10"/>
    <x v="1"/>
    <x v="45"/>
    <x v="0"/>
    <s v="Small Box"/>
    <x v="1"/>
    <d v="2014-11-26T00:00:00"/>
    <n v="8.92"/>
    <n v="29.74"/>
    <n v="20.82"/>
    <n v="34"/>
    <n v="1011.16"/>
    <n v="0.09"/>
    <n v="91.00439999999999"/>
    <n v="920.15559999999994"/>
    <n v="6.64"/>
    <n v="926.79559999999992"/>
  </r>
  <r>
    <s v="5698-1"/>
    <d v="2014-11-23T00:00:00"/>
    <x v="1"/>
    <x v="71"/>
    <s v="180 High Street,Windsor"/>
    <s v="Melbourne"/>
    <x v="0"/>
    <x v="2"/>
    <x v="1"/>
    <x v="2"/>
    <x v="67"/>
    <x v="1"/>
    <s v="Jumbo Drum"/>
    <x v="2"/>
    <d v="2014-11-27T00:00:00"/>
    <n v="278.99"/>
    <n v="449.99"/>
    <n v="171"/>
    <n v="34"/>
    <n v="15299.66"/>
    <n v="0.02"/>
    <n v="305.9932"/>
    <n v="14993.666799999999"/>
    <n v="49"/>
    <n v="15042.666799999999"/>
  </r>
  <r>
    <s v="5699-1"/>
    <d v="2014-11-26T00:00:00"/>
    <x v="1"/>
    <x v="317"/>
    <s v="188 Pitt Street,Sydney"/>
    <s v="Sydney"/>
    <x v="1"/>
    <x v="1"/>
    <x v="8"/>
    <x v="0"/>
    <x v="25"/>
    <x v="1"/>
    <s v="Small Box"/>
    <x v="0"/>
    <d v="2014-11-28T00:00:00"/>
    <n v="8.31"/>
    <n v="15.98"/>
    <n v="7.67"/>
    <n v="5"/>
    <n v="79.900000000000006"/>
    <n v="0.08"/>
    <n v="6.3920000000000003"/>
    <n v="73.50800000000001"/>
    <n v="6.5"/>
    <n v="80.00800000000001"/>
  </r>
  <r>
    <s v="5701-1"/>
    <d v="2014-11-30T00:00:00"/>
    <x v="1"/>
    <x v="318"/>
    <s v="127 Liverpool St,Sydney"/>
    <s v="Sydney"/>
    <x v="1"/>
    <x v="0"/>
    <x v="6"/>
    <x v="0"/>
    <x v="87"/>
    <x v="0"/>
    <s v="Wrap Bag"/>
    <x v="1"/>
    <d v="2014-12-02T00:00:00"/>
    <n v="3.32"/>
    <n v="5.18"/>
    <n v="1.8599999999999999"/>
    <n v="9"/>
    <n v="46.62"/>
    <n v="0.09"/>
    <n v="4.1957999999999993"/>
    <n v="42.424199999999999"/>
    <n v="2.04"/>
    <n v="44.464199999999998"/>
  </r>
  <r>
    <s v="5702-1"/>
    <d v="2014-12-01T00:00:00"/>
    <x v="1"/>
    <x v="236"/>
    <s v="22 St Georges Terrace"/>
    <s v="Perth"/>
    <x v="2"/>
    <x v="1"/>
    <x v="5"/>
    <x v="2"/>
    <x v="72"/>
    <x v="0"/>
    <s v="Wrap Bag"/>
    <x v="1"/>
    <d v="2014-12-05T00:00:00"/>
    <n v="1.95"/>
    <n v="3.98"/>
    <n v="2.0300000000000002"/>
    <n v="4"/>
    <n v="15.92"/>
    <n v="0.02"/>
    <n v="0.31840000000000002"/>
    <n v="15.601599999999999"/>
    <n v="0.83"/>
    <n v="16.4316"/>
  </r>
  <r>
    <s v="5703-1"/>
    <d v="2014-12-01T00:00:00"/>
    <x v="1"/>
    <x v="93"/>
    <s v="60 Commercial Rd,Prahran"/>
    <s v="Melbourne"/>
    <x v="0"/>
    <x v="3"/>
    <x v="0"/>
    <x v="2"/>
    <x v="96"/>
    <x v="0"/>
    <s v="Small Pack"/>
    <x v="0"/>
    <d v="2014-12-08T00:00:00"/>
    <n v="16.8"/>
    <n v="40.97"/>
    <n v="24.169999999999998"/>
    <n v="47"/>
    <n v="1925.59"/>
    <n v="0.04"/>
    <n v="77.023600000000002"/>
    <n v="1848.5663999999999"/>
    <n v="8.99"/>
    <n v="1857.5563999999999"/>
  </r>
  <r>
    <s v="5705-1"/>
    <d v="2014-12-04T00:00:00"/>
    <x v="1"/>
    <x v="319"/>
    <s v="499-501 Lygon Street,Carlton North"/>
    <s v="Melbourne"/>
    <x v="0"/>
    <x v="0"/>
    <x v="0"/>
    <x v="4"/>
    <x v="90"/>
    <x v="0"/>
    <s v="Small Box"/>
    <x v="0"/>
    <d v="2014-12-05T00:00:00"/>
    <n v="14.95"/>
    <n v="34.76"/>
    <n v="19.809999999999999"/>
    <n v="8"/>
    <n v="278.08"/>
    <n v="7.0000000000000007E-2"/>
    <n v="19.465600000000002"/>
    <n v="258.61439999999999"/>
    <n v="8.2200000000000006"/>
    <n v="266.83440000000002"/>
  </r>
  <r>
    <s v="5706-1"/>
    <d v="2014-12-05T00:00:00"/>
    <x v="1"/>
    <x v="63"/>
    <s v="24 Addison Rd,Marrickville"/>
    <s v="Sydney"/>
    <x v="1"/>
    <x v="1"/>
    <x v="13"/>
    <x v="4"/>
    <x v="43"/>
    <x v="0"/>
    <s v="Small Box"/>
    <x v="1"/>
    <d v="2014-12-06T00:00:00"/>
    <n v="2.25"/>
    <n v="3.69"/>
    <n v="1.44"/>
    <n v="41"/>
    <n v="151.29"/>
    <n v="0.08"/>
    <n v="12.103199999999999"/>
    <n v="139.18680000000001"/>
    <n v="2.5"/>
    <n v="141.68680000000001"/>
  </r>
  <r>
    <s v="5708-1"/>
    <d v="2014-12-06T00:00:00"/>
    <x v="1"/>
    <x v="320"/>
    <s v="53 Riley Street,Woolloomooloo"/>
    <s v="Sydney"/>
    <x v="1"/>
    <x v="2"/>
    <x v="8"/>
    <x v="3"/>
    <x v="132"/>
    <x v="0"/>
    <s v="Small Box"/>
    <x v="1"/>
    <d v="2014-12-08T00:00:00"/>
    <n v="1.82"/>
    <n v="2.84"/>
    <n v="1.0199999999999998"/>
    <n v="21"/>
    <n v="59.64"/>
    <n v="0.01"/>
    <n v="0.59640000000000004"/>
    <n v="59.043599999999998"/>
    <n v="5.44"/>
    <n v="64.483599999999996"/>
  </r>
  <r>
    <s v="5710-1"/>
    <d v="2014-12-08T00:00:00"/>
    <x v="1"/>
    <x v="321"/>
    <s v="163 Concord Road,North Strathfield"/>
    <s v="Sydney"/>
    <x v="1"/>
    <x v="3"/>
    <x v="10"/>
    <x v="0"/>
    <x v="50"/>
    <x v="0"/>
    <s v="Small Box"/>
    <x v="0"/>
    <d v="2014-12-10T00:00:00"/>
    <n v="178.83"/>
    <n v="415.88"/>
    <n v="237.04999999999998"/>
    <n v="4"/>
    <n v="1663.52"/>
    <n v="0.03"/>
    <n v="49.9056"/>
    <n v="1613.6143999999999"/>
    <n v="11.37"/>
    <n v="1624.9843999999998"/>
  </r>
  <r>
    <s v="5711-1"/>
    <d v="2014-12-09T00:00:00"/>
    <x v="1"/>
    <x v="322"/>
    <s v="359 Crown Street,Surry Hills"/>
    <s v="Sydney"/>
    <x v="1"/>
    <x v="2"/>
    <x v="4"/>
    <x v="4"/>
    <x v="44"/>
    <x v="0"/>
    <s v="Small Box"/>
    <x v="0"/>
    <d v="2014-12-11T00:00:00"/>
    <n v="12.39"/>
    <n v="19.98"/>
    <n v="7.59"/>
    <n v="48"/>
    <n v="959.04"/>
    <n v="0.01"/>
    <n v="9.5904000000000007"/>
    <n v="949.44959999999992"/>
    <n v="5.77"/>
    <n v="955.2195999999999"/>
  </r>
  <r>
    <s v="5712-1"/>
    <d v="2014-12-10T00:00:00"/>
    <x v="1"/>
    <x v="291"/>
    <s v="27/580 Hay Street, Perth"/>
    <s v="Sydney"/>
    <x v="1"/>
    <x v="1"/>
    <x v="3"/>
    <x v="3"/>
    <x v="116"/>
    <x v="0"/>
    <s v="Small Pack"/>
    <x v="0"/>
    <d v="2014-12-11T00:00:00"/>
    <n v="4.1900000000000004"/>
    <n v="10.23"/>
    <n v="6.04"/>
    <n v="46"/>
    <n v="470.58000000000004"/>
    <n v="0.01"/>
    <n v="4.7058000000000009"/>
    <n v="465.87420000000003"/>
    <n v="4.68"/>
    <n v="470.55420000000004"/>
  </r>
  <r>
    <s v="5713-1"/>
    <d v="2014-12-10T00:00:00"/>
    <x v="1"/>
    <x v="323"/>
    <s v="Westfield Sydney,Sydney"/>
    <s v="Sydney"/>
    <x v="1"/>
    <x v="1"/>
    <x v="5"/>
    <x v="2"/>
    <x v="29"/>
    <x v="1"/>
    <s v="Small Pack"/>
    <x v="0"/>
    <d v="2014-12-12T00:00:00"/>
    <n v="1.87"/>
    <n v="8.1199999999999992"/>
    <n v="6.2499999999999991"/>
    <n v="11"/>
    <n v="89.32"/>
    <n v="0.06"/>
    <n v="5.3591999999999995"/>
    <n v="83.960799999999992"/>
    <n v="2.83"/>
    <n v="86.79079999999999"/>
  </r>
  <r>
    <s v="5715-1"/>
    <d v="2014-12-13T00:00:00"/>
    <x v="1"/>
    <x v="225"/>
    <s v="99 Lygon Street,East Brunswick"/>
    <s v="Melbourne"/>
    <x v="0"/>
    <x v="1"/>
    <x v="1"/>
    <x v="0"/>
    <x v="14"/>
    <x v="0"/>
    <s v="Small Box"/>
    <x v="0"/>
    <d v="2014-12-15T00:00:00"/>
    <n v="4.59"/>
    <n v="7.28"/>
    <n v="2.6900000000000004"/>
    <n v="36"/>
    <n v="262.08"/>
    <n v="0.05"/>
    <n v="13.103999999999999"/>
    <n v="248.976"/>
    <n v="11.15"/>
    <n v="260.12599999999998"/>
  </r>
  <r>
    <s v="5717-1"/>
    <d v="2014-12-16T00:00:00"/>
    <x v="1"/>
    <x v="324"/>
    <s v="470 Anzac Parade,Kingsford"/>
    <s v="Sydney"/>
    <x v="1"/>
    <x v="1"/>
    <x v="8"/>
    <x v="4"/>
    <x v="83"/>
    <x v="0"/>
    <s v="Small Box"/>
    <x v="0"/>
    <d v="2014-12-18T00:00:00"/>
    <n v="2.1800000000000002"/>
    <n v="3.52"/>
    <n v="1.3399999999999999"/>
    <n v="23"/>
    <n v="80.959999999999994"/>
    <n v="7.0000000000000007E-2"/>
    <n v="5.6672000000000002"/>
    <n v="75.2928"/>
    <n v="6.83"/>
    <n v="82.122799999999998"/>
  </r>
  <r>
    <s v="5718-1"/>
    <d v="2014-12-22T00:00:00"/>
    <x v="1"/>
    <x v="325"/>
    <s v="188 Pitt Street,Sydney"/>
    <s v="Sydney"/>
    <x v="1"/>
    <x v="1"/>
    <x v="8"/>
    <x v="4"/>
    <x v="133"/>
    <x v="0"/>
    <s v="Wrap Bag"/>
    <x v="0"/>
    <d v="2014-12-23T00:00:00"/>
    <n v="0.92"/>
    <n v="1.81"/>
    <n v="0.89"/>
    <n v="48"/>
    <n v="86.88"/>
    <n v="0.1"/>
    <n v="8.6880000000000006"/>
    <n v="78.191999999999993"/>
    <n v="1.56"/>
    <n v="79.751999999999995"/>
  </r>
  <r>
    <s v="5719-1"/>
    <d v="2014-12-25T00:00:00"/>
    <x v="1"/>
    <x v="232"/>
    <s v="88 Oxford St,Woollahra"/>
    <s v="Sydney"/>
    <x v="1"/>
    <x v="2"/>
    <x v="10"/>
    <x v="4"/>
    <x v="67"/>
    <x v="1"/>
    <s v="Large Box"/>
    <x v="0"/>
    <d v="2014-12-27T00:00:00"/>
    <n v="216"/>
    <n v="449.99"/>
    <n v="233.99"/>
    <n v="10"/>
    <n v="4499.8999999999996"/>
    <n v="0.01"/>
    <n v="44.998999999999995"/>
    <n v="4454.9009999999998"/>
    <n v="24.49"/>
    <n v="4479.3909999999996"/>
  </r>
  <r>
    <s v="5720-1"/>
    <d v="2014-12-26T00:00:00"/>
    <x v="1"/>
    <x v="245"/>
    <s v="14/76 Newcastle Street, Perth"/>
    <s v="Melbourne"/>
    <x v="0"/>
    <x v="2"/>
    <x v="1"/>
    <x v="0"/>
    <x v="53"/>
    <x v="0"/>
    <s v="Wrap Bag"/>
    <x v="0"/>
    <d v="2014-12-29T00:00:00"/>
    <n v="1.6"/>
    <n v="2.62"/>
    <n v="1.02"/>
    <n v="37"/>
    <n v="96.94"/>
    <n v="0.01"/>
    <n v="0.96940000000000004"/>
    <n v="95.970600000000005"/>
    <n v="0.8"/>
    <n v="96.770600000000002"/>
  </r>
  <r>
    <s v="5721-1"/>
    <d v="2014-12-26T00:00:00"/>
    <x v="1"/>
    <x v="326"/>
    <s v="523 King St,Newtown"/>
    <s v="Sydney"/>
    <x v="1"/>
    <x v="3"/>
    <x v="9"/>
    <x v="0"/>
    <x v="18"/>
    <x v="0"/>
    <s v="Small Box"/>
    <x v="0"/>
    <d v="2014-12-29T00:00:00"/>
    <n v="3.52"/>
    <n v="5.68"/>
    <n v="2.1599999999999997"/>
    <n v="42"/>
    <n v="238.56"/>
    <n v="0.05"/>
    <n v="11.928000000000001"/>
    <n v="226.63200000000001"/>
    <n v="1.39"/>
    <n v="228.02199999999999"/>
  </r>
  <r>
    <s v="5722-1"/>
    <d v="2014-12-27T00:00:00"/>
    <x v="1"/>
    <x v="327"/>
    <s v="105 Pitt St,Sydney"/>
    <s v="Sydney"/>
    <x v="1"/>
    <x v="3"/>
    <x v="10"/>
    <x v="1"/>
    <x v="22"/>
    <x v="0"/>
    <s v="Small Box"/>
    <x v="1"/>
    <d v="2014-12-28T00:00:00"/>
    <n v="1.59"/>
    <n v="2.61"/>
    <n v="1.0199999999999998"/>
    <n v="37"/>
    <n v="96.57"/>
    <n v="0.09"/>
    <n v="8.6912999999999982"/>
    <n v="87.878699999999995"/>
    <n v="0.5"/>
    <n v="88.378699999999995"/>
  </r>
  <r>
    <s v="5724-1"/>
    <d v="2014-12-27T00:00:00"/>
    <x v="1"/>
    <x v="328"/>
    <s v="Westfield Miranda, 600 Kingsway,Miranda"/>
    <s v="Sydney"/>
    <x v="1"/>
    <x v="3"/>
    <x v="12"/>
    <x v="0"/>
    <x v="90"/>
    <x v="0"/>
    <s v="Small Box"/>
    <x v="0"/>
    <d v="2014-12-27T00:00:00"/>
    <n v="14.95"/>
    <n v="34.76"/>
    <n v="19.809999999999999"/>
    <n v="10"/>
    <n v="347.59999999999997"/>
    <n v="0.03"/>
    <n v="10.427999999999999"/>
    <n v="337.17199999999997"/>
    <n v="8.2200000000000006"/>
    <n v="345.392"/>
  </r>
  <r>
    <s v="5724-2"/>
    <d v="2014-12-27T00:00:00"/>
    <x v="1"/>
    <x v="328"/>
    <s v="Westfield Miranda, 600 Kingsway,Miranda"/>
    <s v="Sydney"/>
    <x v="1"/>
    <x v="3"/>
    <x v="12"/>
    <x v="0"/>
    <x v="108"/>
    <x v="0"/>
    <s v="Wrap Bag"/>
    <x v="0"/>
    <d v="2014-12-29T00:00:00"/>
    <n v="2.31"/>
    <n v="3.78"/>
    <n v="1.4699999999999998"/>
    <n v="41"/>
    <n v="154.97999999999999"/>
    <n v="0.02"/>
    <n v="3.0995999999999997"/>
    <n v="151.88039999999998"/>
    <n v="0.71"/>
    <n v="152.59039999999999"/>
  </r>
  <r>
    <s v="5728-1"/>
    <d v="2014-12-28T00:00:00"/>
    <x v="1"/>
    <x v="329"/>
    <s v="Sydney Fish Market, Bank Street, Sydney"/>
    <s v="Sydney"/>
    <x v="1"/>
    <x v="2"/>
    <x v="4"/>
    <x v="0"/>
    <x v="119"/>
    <x v="0"/>
    <s v="Small Box"/>
    <x v="0"/>
    <d v="2014-12-30T00:00:00"/>
    <n v="7.13"/>
    <n v="20.98"/>
    <n v="13.850000000000001"/>
    <n v="47"/>
    <n v="986.06000000000006"/>
    <n v="0.01"/>
    <n v="9.8606000000000016"/>
    <n v="976.19940000000008"/>
    <n v="5.42"/>
    <n v="981.61940000000004"/>
  </r>
  <r>
    <s v="5730-1"/>
    <d v="2014-12-28T00:00:00"/>
    <x v="1"/>
    <x v="330"/>
    <s v="188 Pitt Street,Sydney"/>
    <s v="Sydney"/>
    <x v="1"/>
    <x v="1"/>
    <x v="8"/>
    <x v="3"/>
    <x v="91"/>
    <x v="0"/>
    <s v="Small Box"/>
    <x v="0"/>
    <d v="2014-12-28T00:00:00"/>
    <n v="22.18"/>
    <n v="54.1"/>
    <n v="31.92"/>
    <n v="5"/>
    <n v="270.5"/>
    <n v="0.04"/>
    <n v="10.82"/>
    <n v="259.68"/>
    <n v="19.989999999999998"/>
    <n v="279.67"/>
  </r>
  <r>
    <s v="5731-1"/>
    <d v="2014-12-30T00:00:00"/>
    <x v="1"/>
    <x v="331"/>
    <s v="7 Khartoum Rd,Macquarie Park"/>
    <s v="Sydney"/>
    <x v="1"/>
    <x v="3"/>
    <x v="12"/>
    <x v="3"/>
    <x v="132"/>
    <x v="0"/>
    <s v="Small Box"/>
    <x v="0"/>
    <d v="2014-12-31T00:00:00"/>
    <n v="1.82"/>
    <n v="2.84"/>
    <n v="1.0199999999999998"/>
    <n v="27"/>
    <n v="76.679999999999993"/>
    <n v="0.03"/>
    <n v="2.3003999999999998"/>
    <n v="74.379599999999996"/>
    <n v="5.44"/>
    <n v="79.819599999999994"/>
  </r>
  <r>
    <s v="5732-1"/>
    <d v="2015-01-01T00:00:00"/>
    <x v="2"/>
    <x v="332"/>
    <s v="8 Rankins Lane ,Melbourne"/>
    <s v="Melbourne"/>
    <x v="0"/>
    <x v="3"/>
    <x v="1"/>
    <x v="3"/>
    <x v="140"/>
    <x v="0"/>
    <s v="Small Pack"/>
    <x v="0"/>
    <d v="2015-01-03T00:00:00"/>
    <n v="2.87"/>
    <n v="6.84"/>
    <n v="3.9699999999999998"/>
    <n v="35"/>
    <n v="239.4"/>
    <n v="0.01"/>
    <n v="2.3940000000000001"/>
    <n v="237.006"/>
    <n v="4.42"/>
    <n v="241.42599999999999"/>
  </r>
  <r>
    <s v="5734-1"/>
    <d v="2015-01-02T00:00:00"/>
    <x v="2"/>
    <x v="333"/>
    <s v="53-55 Liverpool St,Sydney"/>
    <s v="Sydney"/>
    <x v="1"/>
    <x v="1"/>
    <x v="8"/>
    <x v="2"/>
    <x v="33"/>
    <x v="1"/>
    <s v="Small Box"/>
    <x v="0"/>
    <d v="2015-01-04T00:00:00"/>
    <n v="19.78"/>
    <n v="45.99"/>
    <n v="26.21"/>
    <n v="50"/>
    <n v="2299.5"/>
    <n v="0"/>
    <n v="0"/>
    <n v="2299.5"/>
    <n v="4.99"/>
    <n v="2304.4899999999998"/>
  </r>
  <r>
    <s v="5736-1"/>
    <d v="2015-01-02T00:00:00"/>
    <x v="2"/>
    <x v="334"/>
    <s v="1 John St,Waterloo"/>
    <s v="Sydney"/>
    <x v="1"/>
    <x v="0"/>
    <x v="10"/>
    <x v="4"/>
    <x v="141"/>
    <x v="0"/>
    <s v="Wrap Bag"/>
    <x v="0"/>
    <d v="2015-01-04T00:00:00"/>
    <n v="2.68"/>
    <n v="6.08"/>
    <n v="3.4"/>
    <n v="30"/>
    <n v="182.4"/>
    <n v="0.04"/>
    <n v="7.2960000000000003"/>
    <n v="175.10400000000001"/>
    <n v="1.17"/>
    <n v="176.274"/>
  </r>
  <r>
    <s v="5737-1"/>
    <d v="2015-01-07T00:00:00"/>
    <x v="2"/>
    <x v="303"/>
    <s v="65 Palmerston Street, Perth"/>
    <s v="Melbourne"/>
    <x v="0"/>
    <x v="1"/>
    <x v="0"/>
    <x v="4"/>
    <x v="9"/>
    <x v="0"/>
    <s v="Small Box"/>
    <x v="0"/>
    <d v="2015-01-09T00:00:00"/>
    <n v="5.33"/>
    <n v="8.6"/>
    <n v="3.2699999999999996"/>
    <n v="48"/>
    <n v="412.79999999999995"/>
    <n v="0.02"/>
    <n v="8.2559999999999985"/>
    <n v="404.54399999999998"/>
    <n v="6.19"/>
    <n v="410.73399999999998"/>
  </r>
  <r>
    <s v="5738-1"/>
    <d v="2015-01-07T00:00:00"/>
    <x v="2"/>
    <x v="123"/>
    <s v="10 O'Connell St,Sydney"/>
    <s v="Sydney"/>
    <x v="1"/>
    <x v="2"/>
    <x v="9"/>
    <x v="3"/>
    <x v="71"/>
    <x v="0"/>
    <s v="Small Box"/>
    <x v="1"/>
    <d v="2015-01-09T00:00:00"/>
    <n v="4.46"/>
    <n v="10.89"/>
    <n v="6.4300000000000006"/>
    <n v="37"/>
    <n v="402.93"/>
    <n v="0"/>
    <n v="0"/>
    <n v="402.93"/>
    <n v="4.5"/>
    <n v="407.43"/>
  </r>
  <r>
    <s v="5740-1"/>
    <d v="2015-01-09T00:00:00"/>
    <x v="2"/>
    <x v="335"/>
    <s v="120 Hardware St,Melbourne"/>
    <s v="Melbourne"/>
    <x v="0"/>
    <x v="2"/>
    <x v="0"/>
    <x v="0"/>
    <x v="124"/>
    <x v="0"/>
    <s v="Wrap Bag"/>
    <x v="0"/>
    <d v="2015-01-11T00:00:00"/>
    <n v="0.87"/>
    <n v="1.81"/>
    <n v="0.94000000000000006"/>
    <n v="9"/>
    <n v="16.29"/>
    <n v="0.09"/>
    <n v="1.4661"/>
    <n v="14.823899999999998"/>
    <n v="0.75"/>
    <n v="15.573899999999998"/>
  </r>
  <r>
    <s v="5741-1"/>
    <d v="2015-01-10T00:00:00"/>
    <x v="2"/>
    <x v="336"/>
    <s v="240-242 Johnston Street,Fitzroy"/>
    <s v="Melbourne"/>
    <x v="0"/>
    <x v="0"/>
    <x v="1"/>
    <x v="4"/>
    <x v="31"/>
    <x v="0"/>
    <s v="Small Box"/>
    <x v="0"/>
    <d v="2015-01-12T00:00:00"/>
    <n v="13.88"/>
    <n v="22.38"/>
    <n v="8.4999999999999982"/>
    <n v="50"/>
    <n v="1119"/>
    <n v="7.0000000000000007E-2"/>
    <n v="78.330000000000013"/>
    <n v="1040.67"/>
    <n v="15.1"/>
    <n v="1055.77"/>
  </r>
  <r>
    <s v="5742-1"/>
    <d v="2015-01-10T00:00:00"/>
    <x v="2"/>
    <x v="57"/>
    <s v="221 Barkly St,St Kilda"/>
    <s v="Melbourne"/>
    <x v="0"/>
    <x v="2"/>
    <x v="0"/>
    <x v="2"/>
    <x v="64"/>
    <x v="0"/>
    <s v="Wrap Bag"/>
    <x v="0"/>
    <d v="2015-01-10T00:00:00"/>
    <n v="1.31"/>
    <n v="2.84"/>
    <n v="1.5299999999999998"/>
    <n v="21"/>
    <n v="59.64"/>
    <n v="0"/>
    <n v="0"/>
    <n v="59.64"/>
    <n v="0.93"/>
    <n v="60.57"/>
  </r>
  <r>
    <s v="5743-1"/>
    <d v="2015-01-11T00:00:00"/>
    <x v="2"/>
    <x v="337"/>
    <s v="Crown Complex,Southbank"/>
    <s v="Melbourne"/>
    <x v="0"/>
    <x v="1"/>
    <x v="0"/>
    <x v="3"/>
    <x v="48"/>
    <x v="1"/>
    <s v="Small Pack"/>
    <x v="0"/>
    <d v="2015-01-12T00:00:00"/>
    <n v="20.18"/>
    <n v="35.409999999999997"/>
    <n v="15.229999999999997"/>
    <n v="1"/>
    <n v="35.409999999999997"/>
    <n v="0"/>
    <n v="0"/>
    <n v="35.409999999999997"/>
    <n v="1.99"/>
    <n v="37.4"/>
  </r>
  <r>
    <s v="5745-1"/>
    <d v="2015-01-11T00:00:00"/>
    <x v="2"/>
    <x v="216"/>
    <s v="3/219 Canley Vale Road,Canley Heights"/>
    <s v="Sydney"/>
    <x v="1"/>
    <x v="0"/>
    <x v="11"/>
    <x v="3"/>
    <x v="4"/>
    <x v="0"/>
    <s v="Wrap Bag"/>
    <x v="0"/>
    <d v="2015-01-13T00:00:00"/>
    <n v="0.9"/>
    <n v="2.1"/>
    <n v="1.2000000000000002"/>
    <n v="23"/>
    <n v="48.300000000000004"/>
    <n v="0.06"/>
    <n v="2.8980000000000001"/>
    <n v="45.402000000000001"/>
    <n v="0.7"/>
    <n v="46.102000000000004"/>
  </r>
  <r>
    <s v="5747-1"/>
    <d v="2015-01-12T00:00:00"/>
    <x v="2"/>
    <x v="338"/>
    <s v="Westfield Miranda, 600 Kingsway,Miranda"/>
    <s v="Sydney"/>
    <x v="1"/>
    <x v="1"/>
    <x v="12"/>
    <x v="3"/>
    <x v="18"/>
    <x v="0"/>
    <s v="Small Box"/>
    <x v="0"/>
    <d v="2015-01-14T00:00:00"/>
    <n v="3.52"/>
    <n v="5.68"/>
    <n v="2.1599999999999997"/>
    <n v="18"/>
    <n v="102.24"/>
    <n v="0.06"/>
    <n v="6.1343999999999994"/>
    <n v="96.105599999999995"/>
    <n v="1.39"/>
    <n v="97.495599999999996"/>
  </r>
  <r>
    <s v="5749-1"/>
    <d v="2015-01-12T00:00:00"/>
    <x v="2"/>
    <x v="43"/>
    <s v="470 Anzac Parade,Kingsford"/>
    <s v="Sydney"/>
    <x v="1"/>
    <x v="2"/>
    <x v="8"/>
    <x v="1"/>
    <x v="52"/>
    <x v="0"/>
    <s v="Wrap Bag"/>
    <x v="0"/>
    <d v="2015-01-13T00:00:00"/>
    <n v="2.9"/>
    <n v="4.76"/>
    <n v="1.8599999999999999"/>
    <n v="42"/>
    <n v="199.92"/>
    <n v="7.0000000000000007E-2"/>
    <n v="13.994400000000001"/>
    <n v="185.92559999999997"/>
    <n v="0.88"/>
    <n v="186.80559999999997"/>
  </r>
  <r>
    <s v="5750-1"/>
    <d v="2015-01-13T00:00:00"/>
    <x v="2"/>
    <x v="137"/>
    <s v="541 Church St ,Richmond"/>
    <s v="Melbourne"/>
    <x v="0"/>
    <x v="2"/>
    <x v="0"/>
    <x v="0"/>
    <x v="140"/>
    <x v="0"/>
    <s v="Small Pack"/>
    <x v="0"/>
    <d v="2015-01-14T00:00:00"/>
    <n v="2.87"/>
    <n v="6.84"/>
    <n v="3.9699999999999998"/>
    <n v="26"/>
    <n v="177.84"/>
    <n v="0.08"/>
    <n v="14.2272"/>
    <n v="163.61279999999999"/>
    <n v="4.42"/>
    <n v="168.03279999999998"/>
  </r>
  <r>
    <s v="5752-1"/>
    <d v="2015-01-13T00:00:00"/>
    <x v="2"/>
    <x v="336"/>
    <s v="240-242 Johnston Street,Fitzroy"/>
    <s v="Melbourne"/>
    <x v="0"/>
    <x v="0"/>
    <x v="1"/>
    <x v="3"/>
    <x v="4"/>
    <x v="0"/>
    <s v="Wrap Bag"/>
    <x v="0"/>
    <d v="2015-01-15T00:00:00"/>
    <n v="0.9"/>
    <n v="2.1"/>
    <n v="1.2000000000000002"/>
    <n v="34"/>
    <n v="71.400000000000006"/>
    <n v="0.02"/>
    <n v="1.4280000000000002"/>
    <n v="69.972000000000008"/>
    <n v="0.7"/>
    <n v="70.672000000000011"/>
  </r>
  <r>
    <s v="5754-1"/>
    <d v="2015-01-14T00:00:00"/>
    <x v="2"/>
    <x v="165"/>
    <s v="273 George Street,Sydney"/>
    <s v="Sydney"/>
    <x v="1"/>
    <x v="1"/>
    <x v="2"/>
    <x v="1"/>
    <x v="31"/>
    <x v="0"/>
    <s v="Small Box"/>
    <x v="0"/>
    <d v="2015-01-15T00:00:00"/>
    <n v="13.88"/>
    <n v="22.38"/>
    <n v="8.4999999999999982"/>
    <n v="39"/>
    <n v="872.81999999999994"/>
    <n v="7.0000000000000007E-2"/>
    <n v="61.0974"/>
    <n v="811.72259999999994"/>
    <n v="15.1"/>
    <n v="826.82259999999997"/>
  </r>
  <r>
    <s v="5755-1"/>
    <d v="2015-01-15T00:00:00"/>
    <x v="2"/>
    <x v="339"/>
    <s v="8 Rankins Lane ,Melbourne"/>
    <s v="Melbourne"/>
    <x v="0"/>
    <x v="1"/>
    <x v="1"/>
    <x v="1"/>
    <x v="128"/>
    <x v="0"/>
    <s v="Small Box"/>
    <x v="0"/>
    <d v="2015-01-17T00:00:00"/>
    <n v="1.84"/>
    <n v="2.88"/>
    <n v="1.0399999999999998"/>
    <n v="27"/>
    <n v="77.759999999999991"/>
    <n v="0.06"/>
    <n v="4.6655999999999995"/>
    <n v="73.094399999999993"/>
    <n v="0.99"/>
    <n v="74.084399999999988"/>
  </r>
  <r>
    <s v="5757-1"/>
    <d v="2015-01-16T00:00:00"/>
    <x v="2"/>
    <x v="270"/>
    <s v="499-501 Lygon Street,Carlton North"/>
    <s v="Melbourne"/>
    <x v="0"/>
    <x v="1"/>
    <x v="0"/>
    <x v="0"/>
    <x v="122"/>
    <x v="1"/>
    <s v="Jumbo Drum"/>
    <x v="2"/>
    <d v="2015-01-17T00:00:00"/>
    <n v="315.61"/>
    <n v="500.97"/>
    <n v="185.36"/>
    <n v="37"/>
    <n v="18535.89"/>
    <n v="0"/>
    <n v="0"/>
    <n v="18535.89"/>
    <n v="69.3"/>
    <n v="18605.189999999999"/>
  </r>
  <r>
    <s v="5760-1"/>
    <d v="2015-01-17T00:00:00"/>
    <x v="2"/>
    <x v="340"/>
    <s v="1/160 Anzac Parade,Kensington"/>
    <s v="Sydney"/>
    <x v="1"/>
    <x v="0"/>
    <x v="5"/>
    <x v="4"/>
    <x v="6"/>
    <x v="0"/>
    <s v="Small Box"/>
    <x v="1"/>
    <d v="2015-01-19T00:00:00"/>
    <n v="99.39"/>
    <n v="162.93"/>
    <n v="63.540000000000006"/>
    <n v="48"/>
    <n v="7820.64"/>
    <n v="0.04"/>
    <n v="312.82560000000001"/>
    <n v="7507.8144000000002"/>
    <n v="19.989999999999998"/>
    <n v="7527.8044"/>
  </r>
  <r>
    <s v="5762-1"/>
    <d v="2015-01-20T00:00:00"/>
    <x v="2"/>
    <x v="178"/>
    <s v="Westfield Miranda, 600 Kingsway,Miranda"/>
    <s v="Sydney"/>
    <x v="1"/>
    <x v="2"/>
    <x v="12"/>
    <x v="3"/>
    <x v="137"/>
    <x v="0"/>
    <s v="Wrap Bag"/>
    <x v="0"/>
    <d v="2015-01-21T00:00:00"/>
    <n v="4.4800000000000004"/>
    <n v="8.14"/>
    <n v="3.66"/>
    <n v="23"/>
    <n v="187.22000000000003"/>
    <n v="7.0000000000000007E-2"/>
    <n v="13.105400000000003"/>
    <n v="174.11460000000002"/>
    <n v="3.12"/>
    <n v="177.23460000000003"/>
  </r>
  <r>
    <s v="5762-2"/>
    <d v="2015-01-20T00:00:00"/>
    <x v="2"/>
    <x v="178"/>
    <s v="Westfield Miranda, 600 Kingsway,Miranda"/>
    <s v="Sydney"/>
    <x v="1"/>
    <x v="2"/>
    <x v="12"/>
    <x v="3"/>
    <x v="38"/>
    <x v="0"/>
    <s v="Small Box"/>
    <x v="0"/>
    <d v="2015-01-21T00:00:00"/>
    <n v="1.18"/>
    <n v="1.88"/>
    <n v="0.7"/>
    <n v="33"/>
    <n v="62.04"/>
    <n v="0.05"/>
    <n v="3.1020000000000003"/>
    <n v="58.938000000000002"/>
    <n v="1.49"/>
    <n v="60.428000000000004"/>
  </r>
  <r>
    <s v="5766-1"/>
    <d v="2015-01-21T00:00:00"/>
    <x v="2"/>
    <x v="341"/>
    <s v="523 King St,Newtown"/>
    <s v="Sydney"/>
    <x v="1"/>
    <x v="3"/>
    <x v="9"/>
    <x v="0"/>
    <x v="43"/>
    <x v="0"/>
    <s v="Small Box"/>
    <x v="0"/>
    <d v="2015-01-23T00:00:00"/>
    <n v="2.25"/>
    <n v="3.69"/>
    <n v="1.44"/>
    <n v="13"/>
    <n v="47.97"/>
    <n v="0.05"/>
    <n v="2.3985000000000003"/>
    <n v="45.5715"/>
    <n v="2.5"/>
    <n v="48.0715"/>
  </r>
  <r>
    <s v="5768-1"/>
    <d v="2015-01-22T00:00:00"/>
    <x v="2"/>
    <x v="252"/>
    <s v="8 Orange Street, Perth"/>
    <s v="Perth"/>
    <x v="2"/>
    <x v="1"/>
    <x v="4"/>
    <x v="1"/>
    <x v="30"/>
    <x v="1"/>
    <s v="Medium Box"/>
    <x v="0"/>
    <d v="2015-01-23T00:00:00"/>
    <n v="8.82"/>
    <n v="20.99"/>
    <n v="12.169999999999998"/>
    <n v="3"/>
    <n v="62.97"/>
    <n v="0.01"/>
    <n v="0.62970000000000004"/>
    <n v="62.340299999999999"/>
    <n v="4.8099999999999996"/>
    <n v="67.150300000000001"/>
  </r>
  <r>
    <s v="5768-2"/>
    <d v="2015-01-22T00:00:00"/>
    <x v="2"/>
    <x v="252"/>
    <s v="8 Orange Street, Perth"/>
    <s v="Perth"/>
    <x v="2"/>
    <x v="1"/>
    <x v="4"/>
    <x v="1"/>
    <x v="31"/>
    <x v="0"/>
    <s v="Small Box"/>
    <x v="1"/>
    <d v="2015-01-22T00:00:00"/>
    <n v="13.88"/>
    <n v="22.38"/>
    <n v="8.4999999999999982"/>
    <n v="42"/>
    <n v="939.95999999999992"/>
    <n v="7.0000000000000007E-2"/>
    <n v="65.797200000000004"/>
    <n v="874.16279999999995"/>
    <n v="15.1"/>
    <n v="889.26279999999997"/>
  </r>
  <r>
    <s v="5768-2"/>
    <d v="2015-01-22T00:00:00"/>
    <x v="2"/>
    <x v="252"/>
    <s v="8 Orange Street, Perth"/>
    <s v="Perth"/>
    <x v="2"/>
    <x v="1"/>
    <x v="4"/>
    <x v="1"/>
    <x v="23"/>
    <x v="1"/>
    <s v="Small Box"/>
    <x v="0"/>
    <d v="2015-01-24T00:00:00"/>
    <n v="6.39"/>
    <n v="19.98"/>
    <n v="13.59"/>
    <n v="45"/>
    <n v="899.1"/>
    <n v="0.06"/>
    <n v="53.945999999999998"/>
    <n v="845.154"/>
    <n v="4"/>
    <n v="849.154"/>
  </r>
  <r>
    <s v="5773-1"/>
    <d v="2015-01-23T00:00:00"/>
    <x v="2"/>
    <x v="84"/>
    <s v="Shop 1, 186-190 Church Street,Parramatta;46a Macleay Street,Potts Point"/>
    <s v="Sydney"/>
    <x v="1"/>
    <x v="2"/>
    <x v="11"/>
    <x v="3"/>
    <x v="2"/>
    <x v="0"/>
    <s v="Wrap Bag"/>
    <x v="0"/>
    <d v="2015-01-25T00:00:00"/>
    <n v="2.41"/>
    <n v="3.71"/>
    <n v="1.2999999999999998"/>
    <n v="14"/>
    <n v="51.94"/>
    <n v="0.09"/>
    <n v="4.6745999999999999"/>
    <n v="47.2654"/>
    <n v="1.93"/>
    <n v="49.195399999999999"/>
  </r>
  <r>
    <s v="5775-1"/>
    <d v="2015-01-26T00:00:00"/>
    <x v="2"/>
    <x v="143"/>
    <s v="Sydney Fish Market, Bank Street, Sydney"/>
    <s v="Sydney"/>
    <x v="1"/>
    <x v="2"/>
    <x v="4"/>
    <x v="3"/>
    <x v="12"/>
    <x v="0"/>
    <s v="Wrap Bag"/>
    <x v="0"/>
    <d v="2015-01-28T00:00:00"/>
    <n v="0.71"/>
    <n v="1.1399999999999999"/>
    <n v="0.42999999999999994"/>
    <n v="42"/>
    <n v="47.879999999999995"/>
    <n v="0.06"/>
    <n v="2.8727999999999998"/>
    <n v="45.007199999999997"/>
    <n v="0.7"/>
    <n v="45.7072"/>
  </r>
  <r>
    <s v="5777-1"/>
    <d v="2015-01-28T00:00:00"/>
    <x v="2"/>
    <x v="160"/>
    <s v="Macquarie Centre Cnr Herring Road &amp; Waterloo Road,Macquarie Park"/>
    <s v="Sydney"/>
    <x v="1"/>
    <x v="3"/>
    <x v="3"/>
    <x v="4"/>
    <x v="97"/>
    <x v="0"/>
    <s v="Small Box"/>
    <x v="0"/>
    <d v="2015-01-29T00:00:00"/>
    <n v="2.29"/>
    <n v="3.69"/>
    <n v="1.4"/>
    <n v="4"/>
    <n v="14.76"/>
    <n v="0.01"/>
    <n v="0.14760000000000001"/>
    <n v="14.612399999999999"/>
    <n v="0.5"/>
    <n v="15.112399999999999"/>
  </r>
  <r>
    <s v="5778-1"/>
    <d v="2015-01-30T00:00:00"/>
    <x v="2"/>
    <x v="95"/>
    <s v="27 Greenfield Parade,Bankstown"/>
    <s v="Sydney"/>
    <x v="1"/>
    <x v="1"/>
    <x v="3"/>
    <x v="3"/>
    <x v="24"/>
    <x v="1"/>
    <s v="Small Box"/>
    <x v="0"/>
    <d v="2015-01-31T00:00:00"/>
    <n v="32.020000000000003"/>
    <n v="152.47999999999999"/>
    <n v="120.45999999999998"/>
    <n v="21"/>
    <n v="3202.08"/>
    <n v="0.03"/>
    <n v="96.062399999999997"/>
    <n v="3106.0176000000001"/>
    <n v="4"/>
    <n v="3110.0176000000001"/>
  </r>
  <r>
    <s v="5779-1"/>
    <d v="2015-01-31T00:00:00"/>
    <x v="2"/>
    <x v="217"/>
    <s v="1/173-179 Bronte Rd,Waverley"/>
    <s v="Sydney"/>
    <x v="1"/>
    <x v="1"/>
    <x v="2"/>
    <x v="0"/>
    <x v="67"/>
    <x v="1"/>
    <s v="Jumbo Drum"/>
    <x v="2"/>
    <d v="2015-02-02T00:00:00"/>
    <n v="278.99"/>
    <n v="449.99"/>
    <n v="171"/>
    <n v="25"/>
    <n v="11249.75"/>
    <n v="0.01"/>
    <n v="112.4975"/>
    <n v="11137.252500000001"/>
    <n v="49"/>
    <n v="11186.252500000001"/>
  </r>
  <r>
    <s v="5781-1"/>
    <d v="2015-02-01T00:00:00"/>
    <x v="2"/>
    <x v="342"/>
    <s v="273 George Street,Sydney"/>
    <s v="Sydney"/>
    <x v="1"/>
    <x v="0"/>
    <x v="2"/>
    <x v="0"/>
    <x v="84"/>
    <x v="2"/>
    <s v="Large Box"/>
    <x v="0"/>
    <d v="2015-02-03T00:00:00"/>
    <n v="56.16"/>
    <n v="136.97999999999999"/>
    <n v="80.819999999999993"/>
    <n v="2"/>
    <n v="273.95999999999998"/>
    <n v="0.08"/>
    <n v="21.916799999999999"/>
    <n v="252.04319999999998"/>
    <n v="24.49"/>
    <n v="276.53319999999997"/>
  </r>
  <r>
    <s v="5782-1"/>
    <d v="2015-02-01T00:00:00"/>
    <x v="2"/>
    <x v="267"/>
    <s v="3/265 Stirling Street"/>
    <s v="Perth"/>
    <x v="2"/>
    <x v="2"/>
    <x v="4"/>
    <x v="1"/>
    <x v="79"/>
    <x v="0"/>
    <s v="Small Box"/>
    <x v="0"/>
    <d v="2015-02-03T00:00:00"/>
    <n v="18.38"/>
    <n v="29.17"/>
    <n v="10.790000000000003"/>
    <n v="43"/>
    <n v="1254.3100000000002"/>
    <n v="0.05"/>
    <n v="62.715500000000013"/>
    <n v="1191.5945000000002"/>
    <n v="6.27"/>
    <n v="1197.8645000000001"/>
  </r>
  <r>
    <s v="5784-1"/>
    <d v="2015-02-03T00:00:00"/>
    <x v="2"/>
    <x v="343"/>
    <s v="Westfield Parramatta,Parramatta"/>
    <s v="Sydney"/>
    <x v="1"/>
    <x v="3"/>
    <x v="7"/>
    <x v="0"/>
    <x v="30"/>
    <x v="1"/>
    <s v="Medium Box"/>
    <x v="0"/>
    <d v="2015-02-06T00:00:00"/>
    <n v="8.82"/>
    <n v="20.99"/>
    <n v="12.169999999999998"/>
    <n v="23"/>
    <n v="482.77"/>
    <n v="0.1"/>
    <n v="48.277000000000001"/>
    <n v="434.49299999999999"/>
    <n v="4.8099999999999996"/>
    <n v="439.303"/>
  </r>
  <r>
    <s v="5786-1"/>
    <d v="2015-02-03T00:00:00"/>
    <x v="2"/>
    <x v="344"/>
    <s v="7/370-374 Victoria Ave,Chatswood"/>
    <s v="Sydney"/>
    <x v="1"/>
    <x v="0"/>
    <x v="7"/>
    <x v="4"/>
    <x v="49"/>
    <x v="0"/>
    <s v="Wrap Bag"/>
    <x v="1"/>
    <d v="2015-02-03T00:00:00"/>
    <n v="1.76"/>
    <n v="3.38"/>
    <n v="1.6199999999999999"/>
    <n v="5"/>
    <n v="16.899999999999999"/>
    <n v="0.08"/>
    <n v="1.3519999999999999"/>
    <n v="15.547999999999998"/>
    <n v="0.85"/>
    <n v="16.398"/>
  </r>
  <r>
    <s v="5787-1"/>
    <d v="2015-02-03T00:00:00"/>
    <x v="2"/>
    <x v="345"/>
    <s v="21 Wentworth St,Parramatta"/>
    <s v="Sydney"/>
    <x v="1"/>
    <x v="1"/>
    <x v="9"/>
    <x v="2"/>
    <x v="26"/>
    <x v="0"/>
    <s v="Small Pack"/>
    <x v="0"/>
    <d v="2015-03-02T00:00:00"/>
    <n v="4.79"/>
    <n v="11.97"/>
    <n v="7.1800000000000006"/>
    <n v="17"/>
    <n v="203.49"/>
    <n v="0.03"/>
    <n v="6.1047000000000002"/>
    <n v="197.3853"/>
    <n v="5.81"/>
    <n v="203.1953"/>
  </r>
  <r>
    <s v="5788-1"/>
    <d v="2015-02-04T00:00:00"/>
    <x v="2"/>
    <x v="44"/>
    <s v="152 Bunnerong Road,Eastgardens"/>
    <s v="Sydney"/>
    <x v="1"/>
    <x v="0"/>
    <x v="8"/>
    <x v="4"/>
    <x v="32"/>
    <x v="0"/>
    <s v="Wrap Bag"/>
    <x v="0"/>
    <d v="2015-02-06T00:00:00"/>
    <n v="21.56"/>
    <n v="36.549999999999997"/>
    <n v="14.989999999999998"/>
    <n v="34"/>
    <n v="1242.6999999999998"/>
    <n v="0.03"/>
    <n v="37.280999999999992"/>
    <n v="1205.4189999999999"/>
    <n v="13.89"/>
    <n v="1219.309"/>
  </r>
  <r>
    <s v="5790-1"/>
    <d v="2015-02-04T00:00:00"/>
    <x v="2"/>
    <x v="346"/>
    <s v="85-113 Dunning Ave,Roseberry"/>
    <s v="Sydney"/>
    <x v="1"/>
    <x v="3"/>
    <x v="11"/>
    <x v="1"/>
    <x v="108"/>
    <x v="0"/>
    <s v="Wrap Bag"/>
    <x v="0"/>
    <d v="2015-02-06T00:00:00"/>
    <n v="2.31"/>
    <n v="3.78"/>
    <n v="1.4699999999999998"/>
    <n v="34"/>
    <n v="128.51999999999998"/>
    <n v="0.03"/>
    <n v="3.8555999999999995"/>
    <n v="124.66439999999999"/>
    <n v="0.71"/>
    <n v="125.37439999999998"/>
  </r>
  <r>
    <s v="5791-1"/>
    <d v="2015-02-07T00:00:00"/>
    <x v="2"/>
    <x v="347"/>
    <s v="1/41B Elizabeth Bay Rd,Elizabeth Bay"/>
    <s v="Sydney"/>
    <x v="1"/>
    <x v="3"/>
    <x v="10"/>
    <x v="4"/>
    <x v="46"/>
    <x v="1"/>
    <s v="Small Box"/>
    <x v="0"/>
    <d v="2015-02-18T00:00:00"/>
    <n v="60.59"/>
    <n v="100.98"/>
    <n v="40.39"/>
    <n v="13"/>
    <n v="1312.74"/>
    <n v="0.04"/>
    <n v="52.509599999999999"/>
    <n v="1260.2303999999999"/>
    <n v="7.18"/>
    <n v="1267.4104"/>
  </r>
  <r>
    <s v="5793-1"/>
    <d v="2015-02-08T00:00:00"/>
    <x v="2"/>
    <x v="348"/>
    <s v="221 Barkly St,St Kilda"/>
    <s v="Melbourne"/>
    <x v="0"/>
    <x v="3"/>
    <x v="0"/>
    <x v="4"/>
    <x v="6"/>
    <x v="0"/>
    <s v="Small Box"/>
    <x v="0"/>
    <d v="2015-02-10T00:00:00"/>
    <n v="99.39"/>
    <n v="162.93"/>
    <n v="63.540000000000006"/>
    <n v="39"/>
    <n v="6354.27"/>
    <n v="0.03"/>
    <n v="190.62810000000002"/>
    <n v="6163.6419000000005"/>
    <n v="19.989999999999998"/>
    <n v="6183.6319000000003"/>
  </r>
  <r>
    <s v="5795-1"/>
    <d v="2015-02-09T00:00:00"/>
    <x v="2"/>
    <x v="322"/>
    <s v="359 Crown Street,Surry Hills"/>
    <s v="Sydney"/>
    <x v="1"/>
    <x v="2"/>
    <x v="4"/>
    <x v="2"/>
    <x v="87"/>
    <x v="0"/>
    <s v="Wrap Bag"/>
    <x v="1"/>
    <d v="2015-02-16T00:00:00"/>
    <n v="3.32"/>
    <n v="5.18"/>
    <n v="1.8599999999999999"/>
    <n v="11"/>
    <n v="56.98"/>
    <n v="0.06"/>
    <n v="3.4187999999999996"/>
    <n v="53.561199999999999"/>
    <n v="2.04"/>
    <n v="55.601199999999999"/>
  </r>
  <r>
    <s v="5797-1"/>
    <d v="2015-02-12T00:00:00"/>
    <x v="2"/>
    <x v="237"/>
    <s v="310 Wattle St,Ultimo"/>
    <s v="Sydney"/>
    <x v="1"/>
    <x v="1"/>
    <x v="9"/>
    <x v="2"/>
    <x v="85"/>
    <x v="0"/>
    <s v="Small Pack"/>
    <x v="0"/>
    <d v="2015-02-12T00:00:00"/>
    <n v="5.19"/>
    <n v="12.98"/>
    <n v="7.79"/>
    <n v="50"/>
    <n v="649"/>
    <n v="0.08"/>
    <n v="51.92"/>
    <n v="597.08000000000004"/>
    <n v="3.14"/>
    <n v="600.22"/>
  </r>
  <r>
    <s v="5799-1"/>
    <d v="2015-02-12T00:00:00"/>
    <x v="2"/>
    <x v="283"/>
    <s v="359 Crown Street,Surry Hills"/>
    <s v="Sydney"/>
    <x v="1"/>
    <x v="0"/>
    <x v="4"/>
    <x v="3"/>
    <x v="41"/>
    <x v="1"/>
    <s v="Small Box"/>
    <x v="0"/>
    <d v="2015-02-13T00:00:00"/>
    <n v="156.5"/>
    <n v="300.97000000000003"/>
    <n v="144.47000000000003"/>
    <n v="41"/>
    <n v="12339.77"/>
    <n v="0.1"/>
    <n v="1233.9770000000001"/>
    <n v="11105.793"/>
    <n v="7.18"/>
    <n v="11112.973"/>
  </r>
  <r>
    <s v="5800-1"/>
    <d v="2015-02-14T00:00:00"/>
    <x v="2"/>
    <x v="349"/>
    <s v="88 Oxford St,Woollahra"/>
    <s v="Sydney"/>
    <x v="1"/>
    <x v="2"/>
    <x v="10"/>
    <x v="4"/>
    <x v="14"/>
    <x v="0"/>
    <s v="Small Box"/>
    <x v="1"/>
    <d v="2015-02-15T00:00:00"/>
    <n v="4.59"/>
    <n v="7.28"/>
    <n v="2.6900000000000004"/>
    <n v="5"/>
    <n v="36.4"/>
    <n v="0.05"/>
    <n v="1.82"/>
    <n v="34.58"/>
    <n v="11.15"/>
    <n v="45.73"/>
  </r>
  <r>
    <s v="5801-1"/>
    <d v="2015-02-15T00:00:00"/>
    <x v="2"/>
    <x v="125"/>
    <s v="14 Knebworth Avenue"/>
    <s v="Perth"/>
    <x v="2"/>
    <x v="0"/>
    <x v="13"/>
    <x v="4"/>
    <x v="136"/>
    <x v="0"/>
    <s v="Small Box"/>
    <x v="0"/>
    <d v="2015-02-16T00:00:00"/>
    <n v="1.19"/>
    <n v="1.98"/>
    <n v="0.79"/>
    <n v="3"/>
    <n v="5.9399999999999995"/>
    <n v="0.05"/>
    <n v="0.29699999999999999"/>
    <n v="5.6429999999999998"/>
    <n v="4.7699999999999996"/>
    <n v="10.413"/>
  </r>
  <r>
    <s v="5802-1"/>
    <d v="2015-02-17T00:00:00"/>
    <x v="2"/>
    <x v="146"/>
    <s v="3/219 Canley Vale Road,Canley Heights"/>
    <s v="Sydney"/>
    <x v="1"/>
    <x v="1"/>
    <x v="11"/>
    <x v="4"/>
    <x v="26"/>
    <x v="0"/>
    <s v="Small Pack"/>
    <x v="0"/>
    <d v="2015-02-19T00:00:00"/>
    <n v="4.79"/>
    <n v="11.97"/>
    <n v="7.1800000000000006"/>
    <n v="30"/>
    <n v="359.1"/>
    <n v="0.08"/>
    <n v="28.728000000000002"/>
    <n v="330.37200000000001"/>
    <n v="5.81"/>
    <n v="336.18200000000002"/>
  </r>
  <r>
    <s v="5803-1"/>
    <d v="2015-02-18T00:00:00"/>
    <x v="2"/>
    <x v="350"/>
    <s v="85-113 Dunning Ave,Roseberry"/>
    <s v="Sydney"/>
    <x v="1"/>
    <x v="1"/>
    <x v="11"/>
    <x v="0"/>
    <x v="75"/>
    <x v="0"/>
    <s v="Small Box"/>
    <x v="0"/>
    <d v="2015-02-20T00:00:00"/>
    <n v="1.84"/>
    <n v="2.88"/>
    <n v="1.0399999999999998"/>
    <n v="22"/>
    <n v="63.36"/>
    <n v="0.1"/>
    <n v="6.3360000000000003"/>
    <n v="57.024000000000001"/>
    <n v="1.49"/>
    <n v="58.514000000000003"/>
  </r>
  <r>
    <s v="5804-1"/>
    <d v="2015-02-18T00:00:00"/>
    <x v="2"/>
    <x v="203"/>
    <s v="224A Gertrude St,Fitzroy"/>
    <s v="Melbourne"/>
    <x v="0"/>
    <x v="0"/>
    <x v="1"/>
    <x v="0"/>
    <x v="99"/>
    <x v="0"/>
    <s v="Small Box"/>
    <x v="0"/>
    <d v="2015-02-21T00:00:00"/>
    <n v="3.37"/>
    <n v="5.53"/>
    <n v="2.16"/>
    <n v="12"/>
    <n v="66.36"/>
    <n v="0.06"/>
    <n v="3.9815999999999998"/>
    <n v="62.378399999999999"/>
    <n v="6.98"/>
    <n v="69.358400000000003"/>
  </r>
  <r>
    <s v="5804-2"/>
    <d v="2015-02-18T00:00:00"/>
    <x v="2"/>
    <x v="203"/>
    <s v="224A Gertrude St,Fitzroy"/>
    <s v="Melbourne"/>
    <x v="0"/>
    <x v="0"/>
    <x v="1"/>
    <x v="0"/>
    <x v="113"/>
    <x v="0"/>
    <s v="Wrap Bag"/>
    <x v="0"/>
    <d v="2015-02-19T00:00:00"/>
    <n v="2.16"/>
    <n v="3.85"/>
    <n v="1.69"/>
    <n v="12"/>
    <n v="46.2"/>
    <n v="0.1"/>
    <n v="4.62"/>
    <n v="41.580000000000005"/>
    <n v="0.7"/>
    <n v="42.280000000000008"/>
  </r>
  <r>
    <s v="5805-1"/>
    <d v="2015-02-23T00:00:00"/>
    <x v="2"/>
    <x v="351"/>
    <s v="154 Castlereagh St,Sydney"/>
    <s v="Sydney"/>
    <x v="1"/>
    <x v="0"/>
    <x v="6"/>
    <x v="1"/>
    <x v="10"/>
    <x v="0"/>
    <s v="Small Box"/>
    <x v="0"/>
    <d v="2015-02-26T00:00:00"/>
    <n v="4.8899999999999997"/>
    <n v="7.64"/>
    <n v="2.75"/>
    <n v="32"/>
    <n v="244.48"/>
    <n v="0.06"/>
    <n v="14.668799999999999"/>
    <n v="229.81119999999999"/>
    <n v="1.39"/>
    <n v="231.20119999999997"/>
  </r>
  <r>
    <s v="5806-1"/>
    <d v="2015-02-24T00:00:00"/>
    <x v="2"/>
    <x v="139"/>
    <s v="101 Murray Street"/>
    <s v="Perth"/>
    <x v="2"/>
    <x v="1"/>
    <x v="8"/>
    <x v="4"/>
    <x v="124"/>
    <x v="0"/>
    <s v="Wrap Bag"/>
    <x v="0"/>
    <d v="2015-02-25T00:00:00"/>
    <n v="0.87"/>
    <n v="1.81"/>
    <n v="0.94000000000000006"/>
    <n v="41"/>
    <n v="74.210000000000008"/>
    <n v="0.03"/>
    <n v="2.2263000000000002"/>
    <n v="71.983700000000013"/>
    <n v="0.75"/>
    <n v="72.733700000000013"/>
  </r>
  <r>
    <s v="5807-1"/>
    <d v="2015-02-24T00:00:00"/>
    <x v="2"/>
    <x v="352"/>
    <s v="33 Wellington Street, Perth"/>
    <s v="Melbourne"/>
    <x v="0"/>
    <x v="3"/>
    <x v="1"/>
    <x v="1"/>
    <x v="97"/>
    <x v="0"/>
    <s v="Small Box"/>
    <x v="0"/>
    <d v="2015-02-24T00:00:00"/>
    <n v="2.29"/>
    <n v="3.69"/>
    <n v="1.4"/>
    <n v="12"/>
    <n v="44.28"/>
    <n v="0.02"/>
    <n v="0.88560000000000005"/>
    <n v="43.394400000000005"/>
    <n v="0.5"/>
    <n v="43.894400000000005"/>
  </r>
  <r>
    <s v="5809-1"/>
    <d v="2015-02-27T00:00:00"/>
    <x v="2"/>
    <x v="353"/>
    <s v="78 Stanley St,Darlinghurst"/>
    <s v="Sydney"/>
    <x v="1"/>
    <x v="2"/>
    <x v="4"/>
    <x v="0"/>
    <x v="128"/>
    <x v="0"/>
    <s v="Small Box"/>
    <x v="1"/>
    <d v="2015-02-28T00:00:00"/>
    <n v="1.84"/>
    <n v="2.88"/>
    <n v="1.0399999999999998"/>
    <n v="9"/>
    <n v="25.919999999999998"/>
    <n v="0"/>
    <n v="0"/>
    <n v="25.919999999999998"/>
    <n v="0.99"/>
    <n v="26.909999999999997"/>
  </r>
  <r>
    <s v="5811-1"/>
    <d v="2015-03-01T00:00:00"/>
    <x v="2"/>
    <x v="354"/>
    <s v="101 Murray Street, Perth"/>
    <s v="Sydney"/>
    <x v="1"/>
    <x v="2"/>
    <x v="10"/>
    <x v="2"/>
    <x v="25"/>
    <x v="1"/>
    <s v="Small Box"/>
    <x v="0"/>
    <d v="2015-03-01T00:00:00"/>
    <n v="10.07"/>
    <n v="15.98"/>
    <n v="5.91"/>
    <n v="26"/>
    <n v="415.48"/>
    <n v="0.01"/>
    <n v="4.1547999999999998"/>
    <n v="411.3252"/>
    <n v="4"/>
    <n v="415.3252"/>
  </r>
  <r>
    <s v="5813-1"/>
    <d v="2015-03-02T00:00:00"/>
    <x v="2"/>
    <x v="355"/>
    <s v="1-2/299 Sussex St,Sydney"/>
    <s v="Sydney"/>
    <x v="1"/>
    <x v="1"/>
    <x v="9"/>
    <x v="4"/>
    <x v="142"/>
    <x v="0"/>
    <s v="Small Box"/>
    <x v="1"/>
    <d v="2015-03-03T00:00:00"/>
    <n v="3.99"/>
    <n v="6.23"/>
    <n v="2.2400000000000002"/>
    <n v="4"/>
    <n v="24.92"/>
    <n v="0.1"/>
    <n v="2.4920000000000004"/>
    <n v="22.428000000000001"/>
    <n v="6.97"/>
    <n v="29.398"/>
  </r>
  <r>
    <s v="5814-1"/>
    <d v="2015-03-02T00:00:00"/>
    <x v="2"/>
    <x v="356"/>
    <s v="222 Barkly St,St Kilda"/>
    <s v="Melbourne"/>
    <x v="0"/>
    <x v="2"/>
    <x v="0"/>
    <x v="1"/>
    <x v="15"/>
    <x v="0"/>
    <s v="Wrap Bag"/>
    <x v="0"/>
    <d v="2015-03-04T00:00:00"/>
    <n v="1.3"/>
    <n v="2.88"/>
    <n v="1.5799999999999998"/>
    <n v="43"/>
    <n v="123.83999999999999"/>
    <n v="0.1"/>
    <n v="12.384"/>
    <n v="111.45599999999999"/>
    <n v="1.01"/>
    <n v="112.46599999999999"/>
  </r>
  <r>
    <s v="5815-1"/>
    <d v="2015-03-03T00:00:00"/>
    <x v="2"/>
    <x v="357"/>
    <s v="310 Wattle St,Ultimo"/>
    <s v="Sydney"/>
    <x v="1"/>
    <x v="0"/>
    <x v="9"/>
    <x v="0"/>
    <x v="98"/>
    <x v="0"/>
    <s v="Wrap Bag"/>
    <x v="0"/>
    <d v="2015-03-04T00:00:00"/>
    <n v="5.22"/>
    <n v="9.85"/>
    <n v="4.63"/>
    <n v="41"/>
    <n v="403.84999999999997"/>
    <n v="0.05"/>
    <n v="20.192499999999999"/>
    <n v="383.65749999999997"/>
    <n v="4.82"/>
    <n v="388.47749999999996"/>
  </r>
  <r>
    <s v="5816-1"/>
    <d v="2015-03-04T00:00:00"/>
    <x v="2"/>
    <x v="358"/>
    <s v="834 Bourke St,Waterloo"/>
    <s v="Sydney"/>
    <x v="1"/>
    <x v="1"/>
    <x v="10"/>
    <x v="0"/>
    <x v="113"/>
    <x v="0"/>
    <s v="Wrap Bag"/>
    <x v="0"/>
    <d v="2015-03-06T00:00:00"/>
    <n v="2.16"/>
    <n v="3.85"/>
    <n v="1.69"/>
    <n v="4"/>
    <n v="15.4"/>
    <n v="0.09"/>
    <n v="1.3859999999999999"/>
    <n v="14.014000000000001"/>
    <n v="0.7"/>
    <n v="14.714"/>
  </r>
  <r>
    <s v="5818-1"/>
    <d v="2015-03-06T00:00:00"/>
    <x v="2"/>
    <x v="166"/>
    <s v="180 High Street,Windsor"/>
    <s v="Melbourne"/>
    <x v="0"/>
    <x v="3"/>
    <x v="1"/>
    <x v="0"/>
    <x v="9"/>
    <x v="0"/>
    <s v="Small Box"/>
    <x v="0"/>
    <d v="2015-03-07T00:00:00"/>
    <n v="5.33"/>
    <n v="8.6"/>
    <n v="3.2699999999999996"/>
    <n v="2"/>
    <n v="17.2"/>
    <n v="0.05"/>
    <n v="0.86"/>
    <n v="16.34"/>
    <n v="6.19"/>
    <n v="22.53"/>
  </r>
  <r>
    <s v="5819-1"/>
    <d v="2015-03-11T00:00:00"/>
    <x v="2"/>
    <x v="359"/>
    <s v="10 Lake Street, Perth"/>
    <s v="Sydney"/>
    <x v="1"/>
    <x v="3"/>
    <x v="8"/>
    <x v="0"/>
    <x v="35"/>
    <x v="0"/>
    <s v="Wrap Bag"/>
    <x v="0"/>
    <d v="2015-03-12T00:00:00"/>
    <n v="3.75"/>
    <n v="7.08"/>
    <n v="3.33"/>
    <n v="12"/>
    <n v="84.960000000000008"/>
    <n v="0.1"/>
    <n v="8.4960000000000004"/>
    <n v="76.464000000000013"/>
    <n v="2.35"/>
    <n v="78.814000000000007"/>
  </r>
  <r>
    <s v="5821-1"/>
    <d v="2015-03-12T00:00:00"/>
    <x v="2"/>
    <x v="360"/>
    <s v="2a/285A Crown St,Surry Hills"/>
    <s v="Sydney"/>
    <x v="1"/>
    <x v="0"/>
    <x v="4"/>
    <x v="1"/>
    <x v="73"/>
    <x v="0"/>
    <s v="Small Box"/>
    <x v="0"/>
    <d v="2015-03-13T00:00:00"/>
    <n v="1.94"/>
    <n v="3.08"/>
    <n v="1.1400000000000001"/>
    <n v="4"/>
    <n v="12.32"/>
    <n v="0.03"/>
    <n v="0.36959999999999998"/>
    <n v="11.9504"/>
    <n v="0.99"/>
    <n v="12.9404"/>
  </r>
  <r>
    <s v="5822-1"/>
    <d v="2015-03-15T00:00:00"/>
    <x v="2"/>
    <x v="347"/>
    <s v="1/41B Elizabeth Bay Rd,Elizabeth Bay"/>
    <s v="Sydney"/>
    <x v="1"/>
    <x v="2"/>
    <x v="10"/>
    <x v="0"/>
    <x v="83"/>
    <x v="0"/>
    <s v="Small Box"/>
    <x v="0"/>
    <d v="2015-03-17T00:00:00"/>
    <n v="2.1800000000000002"/>
    <n v="3.52"/>
    <n v="1.3399999999999999"/>
    <n v="49"/>
    <n v="172.48"/>
    <n v="0.08"/>
    <n v="13.798399999999999"/>
    <n v="158.6816"/>
    <n v="6.83"/>
    <n v="165.51160000000002"/>
  </r>
  <r>
    <s v="5824-1"/>
    <d v="2015-03-16T00:00:00"/>
    <x v="2"/>
    <x v="361"/>
    <s v="402 Argyle St,Moss Vale"/>
    <s v="Sydney"/>
    <x v="1"/>
    <x v="0"/>
    <x v="5"/>
    <x v="3"/>
    <x v="122"/>
    <x v="1"/>
    <s v="Jumbo Drum"/>
    <x v="2"/>
    <d v="2015-03-17T00:00:00"/>
    <n v="315.61"/>
    <n v="500.97"/>
    <n v="185.36"/>
    <n v="3"/>
    <n v="1502.91"/>
    <n v="0.06"/>
    <n v="90.174599999999998"/>
    <n v="1412.7354"/>
    <n v="69.3"/>
    <n v="1482.0354"/>
  </r>
  <r>
    <s v="5826-1"/>
    <d v="2015-03-16T00:00:00"/>
    <x v="2"/>
    <x v="362"/>
    <s v="180 High Street,Windsor"/>
    <s v="Melbourne"/>
    <x v="0"/>
    <x v="3"/>
    <x v="1"/>
    <x v="0"/>
    <x v="90"/>
    <x v="0"/>
    <s v="Small Box"/>
    <x v="0"/>
    <d v="2015-03-16T00:00:00"/>
    <n v="14.95"/>
    <n v="34.76"/>
    <n v="19.809999999999999"/>
    <n v="43"/>
    <n v="1494.6799999999998"/>
    <n v="0"/>
    <n v="0"/>
    <n v="1494.6799999999998"/>
    <n v="8.2200000000000006"/>
    <n v="1502.8999999999999"/>
  </r>
  <r>
    <s v="5829-1"/>
    <d v="2015-03-17T00:00:00"/>
    <x v="2"/>
    <x v="363"/>
    <s v="180 High Street,Windsor"/>
    <s v="Melbourne"/>
    <x v="0"/>
    <x v="2"/>
    <x v="1"/>
    <x v="4"/>
    <x v="44"/>
    <x v="0"/>
    <s v="Small Box"/>
    <x v="0"/>
    <d v="2015-03-17T00:00:00"/>
    <n v="12.39"/>
    <n v="19.98"/>
    <n v="7.59"/>
    <n v="32"/>
    <n v="639.36"/>
    <n v="0.05"/>
    <n v="31.968000000000004"/>
    <n v="607.39200000000005"/>
    <n v="5.77"/>
    <n v="613.16200000000003"/>
  </r>
  <r>
    <s v="5831-1"/>
    <d v="2015-03-18T00:00:00"/>
    <x v="2"/>
    <x v="364"/>
    <s v="523 King St,Newtown"/>
    <s v="Sydney"/>
    <x v="1"/>
    <x v="1"/>
    <x v="9"/>
    <x v="1"/>
    <x v="140"/>
    <x v="0"/>
    <s v="Small Pack"/>
    <x v="0"/>
    <d v="2015-03-21T00:00:00"/>
    <n v="2.87"/>
    <n v="6.84"/>
    <n v="3.9699999999999998"/>
    <n v="35"/>
    <n v="239.4"/>
    <n v="0.02"/>
    <n v="4.7880000000000003"/>
    <n v="234.61199999999999"/>
    <n v="4.42"/>
    <n v="239.03199999999998"/>
  </r>
  <r>
    <s v="5832-1"/>
    <d v="2015-03-20T00:00:00"/>
    <x v="2"/>
    <x v="365"/>
    <s v="180 High Street,Windsor"/>
    <s v="Melbourne"/>
    <x v="0"/>
    <x v="3"/>
    <x v="1"/>
    <x v="1"/>
    <x v="39"/>
    <x v="1"/>
    <s v="Small Box"/>
    <x v="1"/>
    <d v="2015-03-21T00:00:00"/>
    <n v="6.4"/>
    <n v="29.1"/>
    <n v="22.700000000000003"/>
    <n v="50"/>
    <n v="1455"/>
    <n v="0.09"/>
    <n v="130.94999999999999"/>
    <n v="1324.05"/>
    <n v="4"/>
    <n v="1328.05"/>
  </r>
  <r>
    <s v="5833-1"/>
    <d v="2015-03-21T00:00:00"/>
    <x v="2"/>
    <x v="47"/>
    <s v="8 Orange Street"/>
    <s v="Perth"/>
    <x v="2"/>
    <x v="3"/>
    <x v="8"/>
    <x v="2"/>
    <x v="36"/>
    <x v="2"/>
    <s v="Small Pack"/>
    <x v="0"/>
    <d v="2015-03-28T00:00:00"/>
    <n v="5.5"/>
    <n v="12.22"/>
    <n v="6.7200000000000006"/>
    <n v="5"/>
    <n v="61.1"/>
    <n v="0.04"/>
    <n v="2.444"/>
    <n v="58.655999999999999"/>
    <n v="2.85"/>
    <n v="61.506"/>
  </r>
  <r>
    <s v="5834-1"/>
    <d v="2015-03-21T00:00:00"/>
    <x v="2"/>
    <x v="102"/>
    <s v="499-501 Lygon Street,Carlton North"/>
    <s v="Melbourne"/>
    <x v="0"/>
    <x v="3"/>
    <x v="0"/>
    <x v="1"/>
    <x v="35"/>
    <x v="0"/>
    <s v="Wrap Bag"/>
    <x v="0"/>
    <d v="2015-03-22T00:00:00"/>
    <n v="3.75"/>
    <n v="7.08"/>
    <n v="3.33"/>
    <n v="31"/>
    <n v="219.48"/>
    <n v="0.01"/>
    <n v="2.1947999999999999"/>
    <n v="217.2852"/>
    <n v="2.35"/>
    <n v="219.6352"/>
  </r>
  <r>
    <s v="5835-1"/>
    <d v="2015-03-22T00:00:00"/>
    <x v="2"/>
    <x v="366"/>
    <s v="Westfield Sydney,Sydney"/>
    <s v="Sydney"/>
    <x v="1"/>
    <x v="0"/>
    <x v="5"/>
    <x v="0"/>
    <x v="14"/>
    <x v="0"/>
    <s v="Small Box"/>
    <x v="1"/>
    <d v="2015-03-23T00:00:00"/>
    <n v="4.59"/>
    <n v="7.28"/>
    <n v="2.6900000000000004"/>
    <n v="40"/>
    <n v="291.2"/>
    <n v="0.04"/>
    <n v="11.648"/>
    <n v="279.55199999999996"/>
    <n v="11.15"/>
    <n v="290.70199999999994"/>
  </r>
  <r>
    <s v="5837-1"/>
    <d v="2015-03-24T00:00:00"/>
    <x v="2"/>
    <x v="367"/>
    <s v="3/265 Stirling Street, Perth"/>
    <s v="Sydney"/>
    <x v="1"/>
    <x v="1"/>
    <x v="2"/>
    <x v="4"/>
    <x v="99"/>
    <x v="0"/>
    <s v="Small Box"/>
    <x v="0"/>
    <d v="2015-03-26T00:00:00"/>
    <n v="3.37"/>
    <n v="5.53"/>
    <n v="2.16"/>
    <n v="23"/>
    <n v="127.19000000000001"/>
    <n v="0.1"/>
    <n v="12.719000000000001"/>
    <n v="114.471"/>
    <n v="6.98"/>
    <n v="121.45100000000001"/>
  </r>
  <r>
    <s v="5838-1"/>
    <d v="2015-03-24T00:00:00"/>
    <x v="2"/>
    <x v="368"/>
    <s v="120 Hardware St,Melbourne"/>
    <s v="Melbourne"/>
    <x v="0"/>
    <x v="1"/>
    <x v="0"/>
    <x v="1"/>
    <x v="18"/>
    <x v="0"/>
    <s v="Small Box"/>
    <x v="0"/>
    <d v="2015-03-25T00:00:00"/>
    <n v="3.52"/>
    <n v="5.68"/>
    <n v="2.1599999999999997"/>
    <n v="8"/>
    <n v="45.44"/>
    <n v="0.02"/>
    <n v="0.90879999999999994"/>
    <n v="44.531199999999998"/>
    <n v="1.39"/>
    <n v="45.921199999999999"/>
  </r>
  <r>
    <s v="5840-1"/>
    <d v="2015-03-25T00:00:00"/>
    <x v="2"/>
    <x v="319"/>
    <s v="499-501 Lygon Street,Carlton North"/>
    <s v="Melbourne"/>
    <x v="0"/>
    <x v="0"/>
    <x v="0"/>
    <x v="3"/>
    <x v="30"/>
    <x v="1"/>
    <s v="Medium Box"/>
    <x v="0"/>
    <d v="2015-03-27T00:00:00"/>
    <n v="8.82"/>
    <n v="20.99"/>
    <n v="12.169999999999998"/>
    <n v="45"/>
    <n v="944.55"/>
    <n v="0.03"/>
    <n v="28.336499999999997"/>
    <n v="916.21349999999995"/>
    <n v="4.8099999999999996"/>
    <n v="921.0234999999999"/>
  </r>
  <r>
    <s v="5841-1"/>
    <d v="2015-03-25T00:00:00"/>
    <x v="2"/>
    <x v="364"/>
    <s v="523 King St,Newtown"/>
    <s v="Sydney"/>
    <x v="1"/>
    <x v="1"/>
    <x v="9"/>
    <x v="3"/>
    <x v="76"/>
    <x v="0"/>
    <s v="Wrap Bag"/>
    <x v="1"/>
    <d v="2015-03-27T00:00:00"/>
    <n v="1.53"/>
    <n v="2.78"/>
    <n v="1.2499999999999998"/>
    <n v="34"/>
    <n v="94.52"/>
    <n v="0"/>
    <n v="0"/>
    <n v="94.52"/>
    <n v="1.34"/>
    <n v="95.86"/>
  </r>
  <r>
    <s v="5842-1"/>
    <d v="2015-03-30T00:00:00"/>
    <x v="2"/>
    <x v="225"/>
    <s v="99 Lygon Street,East Brunswick"/>
    <s v="Melbourne"/>
    <x v="0"/>
    <x v="3"/>
    <x v="1"/>
    <x v="4"/>
    <x v="66"/>
    <x v="1"/>
    <s v="Small Box"/>
    <x v="0"/>
    <d v="2015-04-01T00:00:00"/>
    <n v="54.52"/>
    <n v="100.97"/>
    <n v="46.449999999999996"/>
    <n v="13"/>
    <n v="1312.61"/>
    <n v="0.06"/>
    <n v="78.756599999999992"/>
    <n v="1233.8534"/>
    <n v="7.18"/>
    <n v="1241.0334"/>
  </r>
  <r>
    <s v="5843-1"/>
    <d v="2015-04-04T00:00:00"/>
    <x v="2"/>
    <x v="369"/>
    <s v="8/2 Edward Street"/>
    <s v="Perth"/>
    <x v="2"/>
    <x v="0"/>
    <x v="5"/>
    <x v="4"/>
    <x v="3"/>
    <x v="1"/>
    <s v="Jumbo Drum"/>
    <x v="2"/>
    <d v="2015-04-05T00:00:00"/>
    <n v="75"/>
    <n v="120.97"/>
    <n v="45.97"/>
    <n v="38"/>
    <n v="4596.8599999999997"/>
    <n v="0.09"/>
    <n v="413.71739999999994"/>
    <n v="4183.1426000000001"/>
    <n v="26.3"/>
    <n v="4209.4426000000003"/>
  </r>
  <r>
    <s v="5845-1"/>
    <d v="2015-04-04T00:00:00"/>
    <x v="2"/>
    <x v="219"/>
    <s v="506 Swan Street,Richmond"/>
    <s v="Melbourne"/>
    <x v="0"/>
    <x v="3"/>
    <x v="1"/>
    <x v="0"/>
    <x v="111"/>
    <x v="0"/>
    <s v="Wrap Bag"/>
    <x v="0"/>
    <d v="2015-04-05T00:00:00"/>
    <n v="2.59"/>
    <n v="3.98"/>
    <n v="1.3900000000000001"/>
    <n v="2"/>
    <n v="7.96"/>
    <n v="0.04"/>
    <n v="0.31840000000000002"/>
    <n v="7.6416000000000004"/>
    <n v="2.97"/>
    <n v="10.611600000000001"/>
  </r>
  <r>
    <s v="5847-1"/>
    <d v="2015-04-08T00:00:00"/>
    <x v="2"/>
    <x v="116"/>
    <s v="15 Aberdeen Street"/>
    <s v="Perth"/>
    <x v="2"/>
    <x v="0"/>
    <x v="13"/>
    <x v="1"/>
    <x v="99"/>
    <x v="0"/>
    <s v="Small Box"/>
    <x v="0"/>
    <d v="2015-04-09T00:00:00"/>
    <n v="3.37"/>
    <n v="5.53"/>
    <n v="2.16"/>
    <n v="9"/>
    <n v="49.77"/>
    <n v="0.09"/>
    <n v="4.4793000000000003"/>
    <n v="45.290700000000001"/>
    <n v="6.98"/>
    <n v="52.270700000000005"/>
  </r>
  <r>
    <s v="5848-1"/>
    <d v="2015-04-08T00:00:00"/>
    <x v="2"/>
    <x v="370"/>
    <s v="Shop 1 797 Botany Rd,Rosebery"/>
    <s v="Sydney"/>
    <x v="1"/>
    <x v="3"/>
    <x v="4"/>
    <x v="3"/>
    <x v="47"/>
    <x v="0"/>
    <s v="Wrap Bag"/>
    <x v="0"/>
    <d v="2015-04-09T00:00:00"/>
    <n v="3.48"/>
    <n v="5.43"/>
    <n v="1.9499999999999997"/>
    <n v="13"/>
    <n v="70.59"/>
    <n v="0.02"/>
    <n v="1.4118000000000002"/>
    <n v="69.178200000000004"/>
    <n v="0.95"/>
    <n v="70.128200000000007"/>
  </r>
  <r>
    <s v="5850-1"/>
    <d v="2015-04-10T00:00:00"/>
    <x v="2"/>
    <x v="371"/>
    <s v="Shop 1, 186-190 Church Street,Parramatta;46a Macleay Street,Potts Point"/>
    <s v="Sydney"/>
    <x v="1"/>
    <x v="2"/>
    <x v="11"/>
    <x v="0"/>
    <x v="143"/>
    <x v="0"/>
    <s v="Small Box"/>
    <x v="0"/>
    <d v="2015-04-13T00:00:00"/>
    <n v="3.53"/>
    <n v="8.6199999999999992"/>
    <n v="5.09"/>
    <n v="50"/>
    <n v="430.99999999999994"/>
    <n v="7.0000000000000007E-2"/>
    <n v="30.169999999999998"/>
    <n v="400.82999999999993"/>
    <n v="4.5"/>
    <n v="405.32999999999993"/>
  </r>
  <r>
    <s v="5852-1"/>
    <d v="2015-04-10T00:00:00"/>
    <x v="2"/>
    <x v="372"/>
    <s v="Westfield Miranda, 600 Kingsway,Miranda"/>
    <s v="Sydney"/>
    <x v="1"/>
    <x v="1"/>
    <x v="12"/>
    <x v="1"/>
    <x v="76"/>
    <x v="0"/>
    <s v="Wrap Bag"/>
    <x v="0"/>
    <d v="2015-04-11T00:00:00"/>
    <n v="1.53"/>
    <n v="2.78"/>
    <n v="1.2499999999999998"/>
    <n v="19"/>
    <n v="52.819999999999993"/>
    <n v="0.06"/>
    <n v="3.1691999999999996"/>
    <n v="49.650799999999997"/>
    <n v="1.34"/>
    <n v="50.9908"/>
  </r>
  <r>
    <s v="5854-1"/>
    <d v="2015-04-11T00:00:00"/>
    <x v="2"/>
    <x v="54"/>
    <s v="10 Lake Street, Perth"/>
    <s v="Perth"/>
    <x v="2"/>
    <x v="3"/>
    <x v="11"/>
    <x v="4"/>
    <x v="25"/>
    <x v="1"/>
    <s v="Small Box"/>
    <x v="0"/>
    <d v="2015-04-12T00:00:00"/>
    <n v="10.07"/>
    <n v="15.98"/>
    <n v="5.91"/>
    <n v="40"/>
    <n v="639.20000000000005"/>
    <n v="0.01"/>
    <n v="6.3920000000000003"/>
    <n v="632.80799999999999"/>
    <n v="4"/>
    <n v="636.80799999999999"/>
  </r>
  <r>
    <s v="5856-1"/>
    <d v="2015-04-13T00:00:00"/>
    <x v="2"/>
    <x v="373"/>
    <s v="155 Oxford Street,Darlinghurst"/>
    <s v="Sydney"/>
    <x v="1"/>
    <x v="1"/>
    <x v="6"/>
    <x v="0"/>
    <x v="113"/>
    <x v="0"/>
    <s v="Wrap Bag"/>
    <x v="0"/>
    <d v="2015-04-14T00:00:00"/>
    <n v="2.16"/>
    <n v="3.85"/>
    <n v="1.69"/>
    <n v="42"/>
    <n v="161.70000000000002"/>
    <n v="0.01"/>
    <n v="1.6170000000000002"/>
    <n v="160.08300000000003"/>
    <n v="0.7"/>
    <n v="160.78300000000002"/>
  </r>
  <r>
    <s v="5857-1"/>
    <d v="2015-04-18T00:00:00"/>
    <x v="2"/>
    <x v="270"/>
    <s v="499-501 Lygon Street,Carlton North"/>
    <s v="Melbourne"/>
    <x v="0"/>
    <x v="1"/>
    <x v="0"/>
    <x v="4"/>
    <x v="99"/>
    <x v="0"/>
    <s v="Small Box"/>
    <x v="0"/>
    <d v="2015-04-19T00:00:00"/>
    <n v="3.37"/>
    <n v="5.53"/>
    <n v="2.16"/>
    <n v="30"/>
    <n v="165.9"/>
    <n v="0.01"/>
    <n v="1.659"/>
    <n v="164.24100000000001"/>
    <n v="6.98"/>
    <n v="171.221"/>
  </r>
  <r>
    <s v="5859-1"/>
    <d v="2015-04-18T00:00:00"/>
    <x v="2"/>
    <x v="245"/>
    <s v="14/76 Newcastle Street, Perth"/>
    <s v="Melbourne"/>
    <x v="0"/>
    <x v="1"/>
    <x v="1"/>
    <x v="4"/>
    <x v="99"/>
    <x v="0"/>
    <s v="Small Box"/>
    <x v="0"/>
    <d v="2015-04-19T00:00:00"/>
    <n v="3.37"/>
    <n v="5.53"/>
    <n v="2.16"/>
    <n v="27"/>
    <n v="149.31"/>
    <n v="0.04"/>
    <n v="5.9724000000000004"/>
    <n v="143.33760000000001"/>
    <n v="6.98"/>
    <n v="150.3176"/>
  </r>
  <r>
    <s v="5861-1"/>
    <d v="2015-04-18T00:00:00"/>
    <x v="2"/>
    <x v="374"/>
    <s v="333-339 Enmore Rd,Marrickville"/>
    <s v="Sydney"/>
    <x v="1"/>
    <x v="3"/>
    <x v="12"/>
    <x v="4"/>
    <x v="80"/>
    <x v="0"/>
    <s v="Small Box"/>
    <x v="0"/>
    <d v="2015-04-18T00:00:00"/>
    <n v="3.5"/>
    <n v="5.74"/>
    <n v="2.2400000000000002"/>
    <n v="23"/>
    <n v="132.02000000000001"/>
    <n v="0.06"/>
    <n v="7.9212000000000007"/>
    <n v="124.09880000000001"/>
    <n v="5.01"/>
    <n v="129.1088"/>
  </r>
  <r>
    <s v="5863-1"/>
    <d v="2015-04-19T00:00:00"/>
    <x v="2"/>
    <x v="47"/>
    <s v="8 Orange Street"/>
    <s v="Perth"/>
    <x v="2"/>
    <x v="1"/>
    <x v="8"/>
    <x v="3"/>
    <x v="23"/>
    <x v="1"/>
    <s v="Small Box"/>
    <x v="1"/>
    <d v="2015-04-19T00:00:00"/>
    <n v="6.39"/>
    <n v="19.98"/>
    <n v="13.59"/>
    <n v="6"/>
    <n v="119.88"/>
    <n v="0.08"/>
    <n v="9.5904000000000007"/>
    <n v="110.28959999999999"/>
    <n v="4"/>
    <n v="114.28959999999999"/>
  </r>
  <r>
    <s v="5865-1"/>
    <d v="2015-04-20T00:00:00"/>
    <x v="2"/>
    <x v="375"/>
    <s v="14 Money Street, Perth"/>
    <s v="Sydney"/>
    <x v="1"/>
    <x v="1"/>
    <x v="11"/>
    <x v="0"/>
    <x v="69"/>
    <x v="0"/>
    <s v="Wrap Bag"/>
    <x v="1"/>
    <d v="2015-04-22T00:00:00"/>
    <n v="2.98"/>
    <n v="5.84"/>
    <n v="2.86"/>
    <n v="12"/>
    <n v="70.08"/>
    <n v="0.02"/>
    <n v="1.4016"/>
    <n v="68.678399999999996"/>
    <n v="0.83"/>
    <n v="69.508399999999995"/>
  </r>
  <r>
    <s v="5867-1"/>
    <d v="2015-04-23T00:00:00"/>
    <x v="2"/>
    <x v="61"/>
    <s v="501 George St,Sydney"/>
    <s v="Sydney"/>
    <x v="1"/>
    <x v="3"/>
    <x v="6"/>
    <x v="0"/>
    <x v="110"/>
    <x v="1"/>
    <s v="Large Box"/>
    <x v="0"/>
    <d v="2015-04-23T00:00:00"/>
    <n v="377.99"/>
    <n v="599.99"/>
    <n v="222"/>
    <n v="50"/>
    <n v="29999.5"/>
    <n v="0.09"/>
    <n v="2699.9549999999999"/>
    <n v="27299.544999999998"/>
    <n v="24.49"/>
    <n v="27324.035"/>
  </r>
  <r>
    <s v="5868-1"/>
    <d v="2015-04-24T00:00:00"/>
    <x v="2"/>
    <x v="36"/>
    <s v="4A Lyons St,Strathfield"/>
    <s v="Sydney"/>
    <x v="1"/>
    <x v="1"/>
    <x v="8"/>
    <x v="2"/>
    <x v="49"/>
    <x v="0"/>
    <s v="Wrap Bag"/>
    <x v="0"/>
    <d v="2015-04-24T00:00:00"/>
    <n v="1.76"/>
    <n v="3.38"/>
    <n v="1.6199999999999999"/>
    <n v="31"/>
    <n v="104.78"/>
    <n v="0.04"/>
    <n v="4.1912000000000003"/>
    <n v="100.58880000000001"/>
    <n v="0.85"/>
    <n v="101.4388"/>
  </r>
  <r>
    <s v="5869-1"/>
    <d v="2015-04-25T00:00:00"/>
    <x v="2"/>
    <x v="376"/>
    <s v="8 Rankins Lane ,Melbourne"/>
    <s v="Melbourne"/>
    <x v="0"/>
    <x v="3"/>
    <x v="1"/>
    <x v="1"/>
    <x v="65"/>
    <x v="0"/>
    <s v="Wrap Bag"/>
    <x v="0"/>
    <d v="2015-04-26T00:00:00"/>
    <n v="0.24"/>
    <n v="1.26"/>
    <n v="1.02"/>
    <n v="35"/>
    <n v="44.1"/>
    <n v="0.1"/>
    <n v="4.41"/>
    <n v="39.69"/>
    <n v="0.7"/>
    <n v="40.39"/>
  </r>
  <r>
    <s v="5869-2"/>
    <d v="2015-04-25T00:00:00"/>
    <x v="2"/>
    <x v="376"/>
    <s v="8 Rankins Lane ,Melbourne"/>
    <s v="Melbourne"/>
    <x v="0"/>
    <x v="3"/>
    <x v="1"/>
    <x v="1"/>
    <x v="1"/>
    <x v="0"/>
    <s v="Wrap Bag"/>
    <x v="0"/>
    <d v="2015-04-27T00:00:00"/>
    <n v="2.39"/>
    <n v="4.26"/>
    <n v="1.8699999999999997"/>
    <n v="8"/>
    <n v="34.08"/>
    <n v="0.1"/>
    <n v="3.4079999999999999"/>
    <n v="30.671999999999997"/>
    <n v="1.2"/>
    <n v="31.871999999999996"/>
  </r>
  <r>
    <s v="5870-1"/>
    <d v="2015-04-25T00:00:00"/>
    <x v="2"/>
    <x v="377"/>
    <s v="8 Rankins Lane ,Melbourne"/>
    <s v="Melbourne"/>
    <x v="0"/>
    <x v="3"/>
    <x v="1"/>
    <x v="1"/>
    <x v="67"/>
    <x v="1"/>
    <s v="Large Box"/>
    <x v="0"/>
    <d v="2015-04-27T00:00:00"/>
    <n v="216"/>
    <n v="449.99"/>
    <n v="233.99"/>
    <n v="2"/>
    <n v="899.98"/>
    <n v="0.08"/>
    <n v="71.998400000000004"/>
    <n v="827.98160000000007"/>
    <n v="24.49"/>
    <n v="852.47160000000008"/>
  </r>
  <r>
    <s v="5871-1"/>
    <d v="2015-04-26T00:00:00"/>
    <x v="2"/>
    <x v="161"/>
    <s v="18 Robinson Avenue"/>
    <s v="Perth"/>
    <x v="2"/>
    <x v="1"/>
    <x v="11"/>
    <x v="1"/>
    <x v="30"/>
    <x v="1"/>
    <s v="Medium Box"/>
    <x v="0"/>
    <d v="2015-04-26T00:00:00"/>
    <n v="8.82"/>
    <n v="20.99"/>
    <n v="12.169999999999998"/>
    <n v="19"/>
    <n v="398.80999999999995"/>
    <n v="0.01"/>
    <n v="3.9880999999999998"/>
    <n v="394.82189999999997"/>
    <n v="4.8099999999999996"/>
    <n v="399.63189999999997"/>
  </r>
  <r>
    <s v="5872-1"/>
    <d v="2015-04-26T00:00:00"/>
    <x v="2"/>
    <x v="378"/>
    <s v="Crown Complex,Southbank"/>
    <s v="Melbourne"/>
    <x v="0"/>
    <x v="0"/>
    <x v="0"/>
    <x v="1"/>
    <x v="31"/>
    <x v="0"/>
    <s v="Small Box"/>
    <x v="0"/>
    <d v="2015-04-28T00:00:00"/>
    <n v="13.88"/>
    <n v="22.38"/>
    <n v="8.4999999999999982"/>
    <n v="6"/>
    <n v="134.28"/>
    <n v="0"/>
    <n v="0"/>
    <n v="134.28"/>
    <n v="15.1"/>
    <n v="149.38"/>
  </r>
  <r>
    <s v="5873-1"/>
    <d v="2015-04-28T00:00:00"/>
    <x v="2"/>
    <x v="379"/>
    <s v="99 Lygon Street,East Brunswick"/>
    <s v="Melbourne"/>
    <x v="0"/>
    <x v="0"/>
    <x v="1"/>
    <x v="2"/>
    <x v="70"/>
    <x v="0"/>
    <s v="Small Box"/>
    <x v="1"/>
    <d v="2015-04-30T00:00:00"/>
    <n v="3.65"/>
    <n v="5.98"/>
    <n v="2.3300000000000005"/>
    <n v="50"/>
    <n v="299"/>
    <n v="0.09"/>
    <n v="26.91"/>
    <n v="272.08999999999997"/>
    <n v="1.49"/>
    <n v="273.58"/>
  </r>
  <r>
    <s v="5875-1"/>
    <d v="2015-04-28T00:00:00"/>
    <x v="2"/>
    <x v="380"/>
    <s v="240-242 Johnston Street,Fitzroy"/>
    <s v="Melbourne"/>
    <x v="0"/>
    <x v="1"/>
    <x v="1"/>
    <x v="3"/>
    <x v="122"/>
    <x v="1"/>
    <s v="Jumbo Drum"/>
    <x v="2"/>
    <d v="2015-05-01T00:00:00"/>
    <n v="315.61"/>
    <n v="500.97"/>
    <n v="185.36"/>
    <n v="44"/>
    <n v="22042.68"/>
    <n v="0.09"/>
    <n v="1983.8411999999998"/>
    <n v="20058.838800000001"/>
    <n v="69.3"/>
    <n v="20128.138800000001"/>
  </r>
  <r>
    <s v="5877-1"/>
    <d v="2015-04-29T00:00:00"/>
    <x v="2"/>
    <x v="381"/>
    <s v="101 Murray Street"/>
    <s v="Perth"/>
    <x v="2"/>
    <x v="1"/>
    <x v="8"/>
    <x v="2"/>
    <x v="128"/>
    <x v="0"/>
    <s v="Small Box"/>
    <x v="0"/>
    <d v="2015-05-04T00:00:00"/>
    <n v="1.84"/>
    <n v="2.88"/>
    <n v="1.0399999999999998"/>
    <n v="29"/>
    <n v="83.52"/>
    <n v="0.03"/>
    <n v="2.5055999999999998"/>
    <n v="81.014399999999995"/>
    <n v="0.99"/>
    <n v="82.00439999999999"/>
  </r>
  <r>
    <s v="5879-1"/>
    <d v="2015-04-30T00:00:00"/>
    <x v="2"/>
    <x v="86"/>
    <s v="499-501 Lygon Street,Carlton North"/>
    <s v="Melbourne"/>
    <x v="0"/>
    <x v="2"/>
    <x v="0"/>
    <x v="0"/>
    <x v="77"/>
    <x v="0"/>
    <s v="Small Box"/>
    <x v="0"/>
    <d v="2015-05-02T00:00:00"/>
    <n v="2.2599999999999998"/>
    <n v="3.58"/>
    <n v="1.3200000000000003"/>
    <n v="7"/>
    <n v="25.060000000000002"/>
    <n v="0.09"/>
    <n v="2.2554000000000003"/>
    <n v="22.804600000000001"/>
    <n v="5.47"/>
    <n v="28.2746"/>
  </r>
  <r>
    <s v="5881-1"/>
    <d v="2015-05-01T00:00:00"/>
    <x v="2"/>
    <x v="208"/>
    <s v="73 MacLeay St,Potts Point"/>
    <s v="Sydney"/>
    <x v="1"/>
    <x v="3"/>
    <x v="5"/>
    <x v="3"/>
    <x v="135"/>
    <x v="0"/>
    <s v="Small Box"/>
    <x v="0"/>
    <d v="2015-05-02T00:00:00"/>
    <n v="4.03"/>
    <n v="9.3800000000000008"/>
    <n v="5.3500000000000005"/>
    <n v="31"/>
    <n v="290.78000000000003"/>
    <n v="0.08"/>
    <n v="23.262400000000003"/>
    <n v="267.51760000000002"/>
    <n v="7.28"/>
    <n v="274.79759999999999"/>
  </r>
  <r>
    <s v="5882-1"/>
    <d v="2015-05-02T00:00:00"/>
    <x v="2"/>
    <x v="382"/>
    <s v="105 Pitt St,Sydney"/>
    <s v="Sydney"/>
    <x v="1"/>
    <x v="0"/>
    <x v="10"/>
    <x v="1"/>
    <x v="13"/>
    <x v="0"/>
    <s v="Small Pack"/>
    <x v="0"/>
    <d v="2015-05-03T00:00:00"/>
    <n v="3.42"/>
    <n v="8.34"/>
    <n v="4.92"/>
    <n v="21"/>
    <n v="175.14"/>
    <n v="0.03"/>
    <n v="5.2541999999999991"/>
    <n v="169.88579999999999"/>
    <n v="2.64"/>
    <n v="172.52579999999998"/>
  </r>
  <r>
    <s v="5884-1"/>
    <d v="2015-05-03T00:00:00"/>
    <x v="2"/>
    <x v="196"/>
    <s v="Crown Complex,Southbank"/>
    <s v="Melbourne"/>
    <x v="0"/>
    <x v="1"/>
    <x v="1"/>
    <x v="1"/>
    <x v="25"/>
    <x v="1"/>
    <s v="Small Box"/>
    <x v="0"/>
    <d v="2015-05-05T00:00:00"/>
    <n v="10.07"/>
    <n v="15.98"/>
    <n v="5.91"/>
    <n v="26"/>
    <n v="415.48"/>
    <n v="0.03"/>
    <n v="12.464399999999999"/>
    <n v="403.01560000000001"/>
    <n v="4"/>
    <n v="407.01560000000001"/>
  </r>
  <r>
    <s v="5885-1"/>
    <d v="2015-05-04T00:00:00"/>
    <x v="2"/>
    <x v="383"/>
    <s v="6 Mary St,Newtown"/>
    <s v="Sydney"/>
    <x v="1"/>
    <x v="1"/>
    <x v="6"/>
    <x v="0"/>
    <x v="123"/>
    <x v="0"/>
    <s v="Small Box"/>
    <x v="0"/>
    <d v="2015-05-05T00:00:00"/>
    <n v="84.22"/>
    <n v="210.55"/>
    <n v="126.33000000000001"/>
    <n v="18"/>
    <n v="3789.9"/>
    <n v="0.05"/>
    <n v="189.495"/>
    <n v="3600.4050000000002"/>
    <n v="9.99"/>
    <n v="3610.395"/>
  </r>
  <r>
    <s v="5886-1"/>
    <d v="2015-05-06T00:00:00"/>
    <x v="2"/>
    <x v="384"/>
    <s v="180 High Street,Windsor"/>
    <s v="Melbourne"/>
    <x v="0"/>
    <x v="0"/>
    <x v="1"/>
    <x v="2"/>
    <x v="31"/>
    <x v="0"/>
    <s v="Small Box"/>
    <x v="0"/>
    <d v="2015-05-08T00:00:00"/>
    <n v="13.88"/>
    <n v="22.38"/>
    <n v="8.4999999999999982"/>
    <n v="45"/>
    <n v="1007.0999999999999"/>
    <n v="0.05"/>
    <n v="50.354999999999997"/>
    <n v="956.74499999999989"/>
    <n v="15.1"/>
    <n v="971.84499999999991"/>
  </r>
  <r>
    <s v="5887-1"/>
    <d v="2015-05-10T00:00:00"/>
    <x v="2"/>
    <x v="161"/>
    <s v="18 Robinson Avenue"/>
    <s v="Perth"/>
    <x v="2"/>
    <x v="1"/>
    <x v="11"/>
    <x v="3"/>
    <x v="66"/>
    <x v="1"/>
    <s v="Small Box"/>
    <x v="0"/>
    <d v="2015-05-11T00:00:00"/>
    <n v="54.52"/>
    <n v="100.97"/>
    <n v="46.449999999999996"/>
    <n v="15"/>
    <n v="1514.55"/>
    <n v="0.1"/>
    <n v="151.45500000000001"/>
    <n v="1363.095"/>
    <n v="7.18"/>
    <n v="1370.2750000000001"/>
  </r>
  <r>
    <s v="5888-1"/>
    <d v="2015-05-11T00:00:00"/>
    <x v="2"/>
    <x v="169"/>
    <s v="18 Robinson Avenue, Perth"/>
    <s v="Sydney"/>
    <x v="1"/>
    <x v="1"/>
    <x v="8"/>
    <x v="4"/>
    <x v="116"/>
    <x v="0"/>
    <s v="Small Pack"/>
    <x v="0"/>
    <d v="2015-05-13T00:00:00"/>
    <n v="4.1900000000000004"/>
    <n v="10.23"/>
    <n v="6.04"/>
    <n v="46"/>
    <n v="470.58000000000004"/>
    <n v="0.05"/>
    <n v="23.529000000000003"/>
    <n v="447.05100000000004"/>
    <n v="4.68"/>
    <n v="451.73100000000005"/>
  </r>
  <r>
    <s v="5888-2"/>
    <d v="2015-05-11T00:00:00"/>
    <x v="2"/>
    <x v="169"/>
    <s v="18 Robinson Avenue, Perth"/>
    <s v="Sydney"/>
    <x v="1"/>
    <x v="1"/>
    <x v="8"/>
    <x v="4"/>
    <x v="70"/>
    <x v="0"/>
    <s v="Small Box"/>
    <x v="0"/>
    <d v="2015-05-13T00:00:00"/>
    <n v="3.65"/>
    <n v="5.98"/>
    <n v="2.3300000000000005"/>
    <n v="4"/>
    <n v="23.92"/>
    <n v="7.0000000000000007E-2"/>
    <n v="1.6744000000000003"/>
    <n v="22.245600000000003"/>
    <n v="1.49"/>
    <n v="23.735600000000002"/>
  </r>
  <r>
    <s v="5891-1"/>
    <d v="2015-05-12T00:00:00"/>
    <x v="2"/>
    <x v="13"/>
    <s v="541 Church St ,Richmond"/>
    <s v="Melbourne"/>
    <x v="0"/>
    <x v="1"/>
    <x v="0"/>
    <x v="0"/>
    <x v="127"/>
    <x v="0"/>
    <s v="Wrap Bag"/>
    <x v="0"/>
    <d v="2015-05-14T00:00:00"/>
    <n v="1.88"/>
    <n v="3.14"/>
    <n v="1.2600000000000002"/>
    <n v="50"/>
    <n v="157"/>
    <n v="0"/>
    <n v="0"/>
    <n v="157"/>
    <n v="1.1399999999999999"/>
    <n v="158.13999999999999"/>
  </r>
  <r>
    <s v="5893-1"/>
    <d v="2015-05-14T00:00:00"/>
    <x v="2"/>
    <x v="385"/>
    <s v="106 Ebley Street,Bondi Junction"/>
    <s v="Sydney"/>
    <x v="1"/>
    <x v="1"/>
    <x v="2"/>
    <x v="4"/>
    <x v="65"/>
    <x v="0"/>
    <s v="Wrap Bag"/>
    <x v="1"/>
    <d v="2015-05-14T00:00:00"/>
    <n v="0.24"/>
    <n v="1.26"/>
    <n v="1.02"/>
    <n v="35"/>
    <n v="44.1"/>
    <n v="0.06"/>
    <n v="2.6459999999999999"/>
    <n v="41.454000000000001"/>
    <n v="0.7"/>
    <n v="42.154000000000003"/>
  </r>
  <r>
    <s v="5894-1"/>
    <d v="2015-05-14T00:00:00"/>
    <x v="2"/>
    <x v="386"/>
    <s v="1 John Street,Waterloo"/>
    <s v="Sydney"/>
    <x v="1"/>
    <x v="0"/>
    <x v="10"/>
    <x v="0"/>
    <x v="50"/>
    <x v="0"/>
    <s v="Small Box"/>
    <x v="0"/>
    <d v="2015-05-16T00:00:00"/>
    <n v="178.83"/>
    <n v="415.88"/>
    <n v="237.04999999999998"/>
    <n v="11"/>
    <n v="4574.68"/>
    <n v="0.06"/>
    <n v="274.48079999999999"/>
    <n v="4300.1992"/>
    <n v="11.37"/>
    <n v="4311.5691999999999"/>
  </r>
  <r>
    <s v="5896-1"/>
    <d v="2015-05-15T00:00:00"/>
    <x v="2"/>
    <x v="387"/>
    <s v="96 Liverpool St,Sydney"/>
    <s v="Sydney"/>
    <x v="1"/>
    <x v="0"/>
    <x v="6"/>
    <x v="0"/>
    <x v="85"/>
    <x v="0"/>
    <s v="Small Pack"/>
    <x v="0"/>
    <d v="2015-05-17T00:00:00"/>
    <n v="5.19"/>
    <n v="12.98"/>
    <n v="7.79"/>
    <n v="23"/>
    <n v="298.54000000000002"/>
    <n v="0.01"/>
    <n v="2.9854000000000003"/>
    <n v="295.55459999999999"/>
    <n v="3.14"/>
    <n v="298.69459999999998"/>
  </r>
  <r>
    <s v="5898-1"/>
    <d v="2015-05-17T00:00:00"/>
    <x v="2"/>
    <x v="257"/>
    <s v="Shop 1 797 Botany Rd,Rosebery"/>
    <s v="Sydney"/>
    <x v="1"/>
    <x v="0"/>
    <x v="4"/>
    <x v="3"/>
    <x v="44"/>
    <x v="0"/>
    <s v="Small Box"/>
    <x v="0"/>
    <d v="2015-05-20T00:00:00"/>
    <n v="12.39"/>
    <n v="19.98"/>
    <n v="7.59"/>
    <n v="33"/>
    <n v="659.34"/>
    <n v="0.09"/>
    <n v="59.340600000000002"/>
    <n v="599.99940000000004"/>
    <n v="5.77"/>
    <n v="605.76940000000002"/>
  </r>
  <r>
    <s v="5899-1"/>
    <d v="2015-05-18T00:00:00"/>
    <x v="2"/>
    <x v="74"/>
    <s v="6 Brookman Street"/>
    <s v="Perth"/>
    <x v="2"/>
    <x v="1"/>
    <x v="5"/>
    <x v="3"/>
    <x v="8"/>
    <x v="0"/>
    <s v="Small Box"/>
    <x v="0"/>
    <d v="2015-05-20T00:00:00"/>
    <n v="54.29"/>
    <n v="90.48"/>
    <n v="36.190000000000005"/>
    <n v="11"/>
    <n v="995.28000000000009"/>
    <n v="0.04"/>
    <n v="39.811200000000007"/>
    <n v="955.4688000000001"/>
    <n v="19.989999999999998"/>
    <n v="975.45880000000011"/>
  </r>
  <r>
    <s v="5900-1"/>
    <d v="2015-05-18T00:00:00"/>
    <x v="2"/>
    <x v="365"/>
    <s v="180 High Street,Windsor"/>
    <s v="Melbourne"/>
    <x v="0"/>
    <x v="3"/>
    <x v="1"/>
    <x v="3"/>
    <x v="136"/>
    <x v="0"/>
    <s v="Small Box"/>
    <x v="0"/>
    <d v="2015-05-18T00:00:00"/>
    <n v="1.19"/>
    <n v="1.98"/>
    <n v="0.79"/>
    <n v="29"/>
    <n v="57.42"/>
    <n v="0.09"/>
    <n v="5.1677999999999997"/>
    <n v="52.252200000000002"/>
    <n v="4.7699999999999996"/>
    <n v="57.022199999999998"/>
  </r>
  <r>
    <s v="5902-1"/>
    <d v="2015-05-18T00:00:00"/>
    <x v="2"/>
    <x v="388"/>
    <s v="523 King St,Newtown"/>
    <s v="Sydney"/>
    <x v="1"/>
    <x v="1"/>
    <x v="9"/>
    <x v="2"/>
    <x v="48"/>
    <x v="1"/>
    <s v="Small Pack"/>
    <x v="0"/>
    <d v="2015-05-25T00:00:00"/>
    <n v="20.18"/>
    <n v="35.409999999999997"/>
    <n v="15.229999999999997"/>
    <n v="1"/>
    <n v="35.409999999999997"/>
    <n v="0.1"/>
    <n v="3.5409999999999999"/>
    <n v="31.868999999999996"/>
    <n v="1.99"/>
    <n v="33.858999999999995"/>
  </r>
  <r>
    <s v="5904-1"/>
    <d v="2015-05-19T00:00:00"/>
    <x v="2"/>
    <x v="70"/>
    <s v="152 Bunnerong Road,Eastgardens"/>
    <s v="Sydney"/>
    <x v="1"/>
    <x v="1"/>
    <x v="8"/>
    <x v="1"/>
    <x v="75"/>
    <x v="0"/>
    <s v="Small Box"/>
    <x v="0"/>
    <d v="2015-05-20T00:00:00"/>
    <n v="1.84"/>
    <n v="2.88"/>
    <n v="1.0399999999999998"/>
    <n v="16"/>
    <n v="46.08"/>
    <n v="0.05"/>
    <n v="2.3039999999999998"/>
    <n v="43.775999999999996"/>
    <n v="1.49"/>
    <n v="45.265999999999998"/>
  </r>
  <r>
    <s v="5906-1"/>
    <d v="2015-05-20T00:00:00"/>
    <x v="2"/>
    <x v="225"/>
    <s v="99 Lygon Street,East Brunswick"/>
    <s v="Melbourne"/>
    <x v="0"/>
    <x v="1"/>
    <x v="1"/>
    <x v="0"/>
    <x v="75"/>
    <x v="0"/>
    <s v="Small Box"/>
    <x v="0"/>
    <d v="2015-05-23T00:00:00"/>
    <n v="1.84"/>
    <n v="2.88"/>
    <n v="1.0399999999999998"/>
    <n v="26"/>
    <n v="74.88"/>
    <n v="0.08"/>
    <n v="5.9904000000000002"/>
    <n v="68.889600000000002"/>
    <n v="1.49"/>
    <n v="70.379599999999996"/>
  </r>
  <r>
    <s v="5907-1"/>
    <d v="2015-05-20T00:00:00"/>
    <x v="2"/>
    <x v="158"/>
    <s v="101/12 Victoria Ave, Perth"/>
    <s v="Melbourne"/>
    <x v="0"/>
    <x v="0"/>
    <x v="1"/>
    <x v="1"/>
    <x v="48"/>
    <x v="1"/>
    <s v="Small Pack"/>
    <x v="0"/>
    <d v="2015-05-22T00:00:00"/>
    <n v="20.18"/>
    <n v="35.409999999999997"/>
    <n v="15.229999999999997"/>
    <n v="49"/>
    <n v="1735.09"/>
    <n v="0.02"/>
    <n v="34.701799999999999"/>
    <n v="1700.3881999999999"/>
    <n v="1.99"/>
    <n v="1702.3781999999999"/>
  </r>
  <r>
    <s v="5908-1"/>
    <d v="2015-05-20T00:00:00"/>
    <x v="2"/>
    <x v="389"/>
    <s v="Macquarie Centre Cnr Herring Road &amp; Waterloo Road,Macquarie Park"/>
    <s v="Sydney"/>
    <x v="1"/>
    <x v="3"/>
    <x v="3"/>
    <x v="1"/>
    <x v="17"/>
    <x v="1"/>
    <s v="Small Box"/>
    <x v="0"/>
    <d v="2015-05-21T00:00:00"/>
    <n v="81.59"/>
    <n v="159.99"/>
    <n v="78.400000000000006"/>
    <n v="19"/>
    <n v="3039.8100000000004"/>
    <n v="0.1"/>
    <n v="303.98100000000005"/>
    <n v="2735.8290000000002"/>
    <n v="5.5"/>
    <n v="2741.3290000000002"/>
  </r>
  <r>
    <s v="5909-1"/>
    <d v="2015-05-22T00:00:00"/>
    <x v="2"/>
    <x v="161"/>
    <s v="18 Robinson Avenue"/>
    <s v="Perth"/>
    <x v="2"/>
    <x v="1"/>
    <x v="11"/>
    <x v="1"/>
    <x v="108"/>
    <x v="0"/>
    <s v="Wrap Bag"/>
    <x v="0"/>
    <d v="2015-05-24T00:00:00"/>
    <n v="2.31"/>
    <n v="3.78"/>
    <n v="1.4699999999999998"/>
    <n v="19"/>
    <n v="71.819999999999993"/>
    <n v="0.03"/>
    <n v="2.1545999999999998"/>
    <n v="69.665399999999991"/>
    <n v="0.71"/>
    <n v="70.375399999999985"/>
  </r>
  <r>
    <s v="5911-1"/>
    <d v="2015-05-24T00:00:00"/>
    <x v="2"/>
    <x v="317"/>
    <s v="188 Pitt Street,Sydney"/>
    <s v="Sydney"/>
    <x v="1"/>
    <x v="1"/>
    <x v="8"/>
    <x v="4"/>
    <x v="4"/>
    <x v="0"/>
    <s v="Wrap Bag"/>
    <x v="0"/>
    <d v="2015-05-25T00:00:00"/>
    <n v="0.9"/>
    <n v="2.1"/>
    <n v="1.2000000000000002"/>
    <n v="17"/>
    <n v="35.700000000000003"/>
    <n v="0.09"/>
    <n v="3.2130000000000001"/>
    <n v="32.487000000000002"/>
    <n v="0.7"/>
    <n v="33.187000000000005"/>
  </r>
  <r>
    <s v="5913-1"/>
    <d v="2015-05-24T00:00:00"/>
    <x v="2"/>
    <x v="262"/>
    <s v="180 High Street,Windsor"/>
    <s v="Melbourne"/>
    <x v="0"/>
    <x v="2"/>
    <x v="1"/>
    <x v="2"/>
    <x v="35"/>
    <x v="0"/>
    <s v="Wrap Bag"/>
    <x v="0"/>
    <d v="2015-05-28T00:00:00"/>
    <n v="3.75"/>
    <n v="7.08"/>
    <n v="3.33"/>
    <n v="49"/>
    <n v="346.92"/>
    <n v="0"/>
    <n v="0"/>
    <n v="346.92"/>
    <n v="2.35"/>
    <n v="349.27000000000004"/>
  </r>
  <r>
    <s v="5914-1"/>
    <d v="2015-05-26T00:00:00"/>
    <x v="2"/>
    <x v="390"/>
    <s v="Cnr Williams Road &amp; Lechlade Ave,South Yarra"/>
    <s v="Melbourne"/>
    <x v="0"/>
    <x v="1"/>
    <x v="0"/>
    <x v="1"/>
    <x v="5"/>
    <x v="0"/>
    <s v="Wrap Bag"/>
    <x v="0"/>
    <d v="2015-05-28T00:00:00"/>
    <n v="1.0900000000000001"/>
    <n v="2.6"/>
    <n v="1.51"/>
    <n v="8"/>
    <n v="20.8"/>
    <n v="0.04"/>
    <n v="0.83200000000000007"/>
    <n v="19.968"/>
    <n v="2.4"/>
    <n v="22.367999999999999"/>
  </r>
  <r>
    <s v="5916-1"/>
    <d v="2015-05-27T00:00:00"/>
    <x v="2"/>
    <x v="29"/>
    <s v="85-113 Dunning Ave,Rosebery"/>
    <s v="Sydney"/>
    <x v="1"/>
    <x v="3"/>
    <x v="11"/>
    <x v="3"/>
    <x v="23"/>
    <x v="1"/>
    <s v="Small Box"/>
    <x v="0"/>
    <d v="2015-05-29T00:00:00"/>
    <n v="6.39"/>
    <n v="19.98"/>
    <n v="13.59"/>
    <n v="7"/>
    <n v="139.86000000000001"/>
    <n v="0.09"/>
    <n v="12.587400000000001"/>
    <n v="127.27260000000001"/>
    <n v="4"/>
    <n v="131.27260000000001"/>
  </r>
  <r>
    <s v="5917-1"/>
    <d v="2015-05-28T00:00:00"/>
    <x v="2"/>
    <x v="35"/>
    <s v="61A Bay Road,Wollstonecraft"/>
    <s v="Sydney"/>
    <x v="1"/>
    <x v="1"/>
    <x v="6"/>
    <x v="3"/>
    <x v="5"/>
    <x v="0"/>
    <s v="Wrap Bag"/>
    <x v="1"/>
    <d v="2015-05-29T00:00:00"/>
    <n v="1.0900000000000001"/>
    <n v="2.6"/>
    <n v="1.51"/>
    <n v="42"/>
    <n v="109.2"/>
    <n v="0.05"/>
    <n v="5.4600000000000009"/>
    <n v="103.74000000000001"/>
    <n v="2.4"/>
    <n v="106.14000000000001"/>
  </r>
  <r>
    <s v="5919-1"/>
    <d v="2015-05-29T00:00:00"/>
    <x v="2"/>
    <x v="380"/>
    <s v="240-242 Johnston Street,Fitzroy"/>
    <s v="Melbourne"/>
    <x v="0"/>
    <x v="1"/>
    <x v="1"/>
    <x v="0"/>
    <x v="128"/>
    <x v="0"/>
    <s v="Small Box"/>
    <x v="0"/>
    <d v="2015-05-31T00:00:00"/>
    <n v="1.84"/>
    <n v="2.88"/>
    <n v="1.0399999999999998"/>
    <n v="24"/>
    <n v="69.12"/>
    <n v="7.0000000000000007E-2"/>
    <n v="4.8384000000000009"/>
    <n v="64.281599999999997"/>
    <n v="0.99"/>
    <n v="65.271599999999992"/>
  </r>
  <r>
    <s v="5921-1"/>
    <d v="2015-05-31T00:00:00"/>
    <x v="2"/>
    <x v="391"/>
    <s v="499-501 Lygon Street,Carlton North"/>
    <s v="Melbourne"/>
    <x v="0"/>
    <x v="1"/>
    <x v="0"/>
    <x v="3"/>
    <x v="30"/>
    <x v="1"/>
    <s v="Medium Box"/>
    <x v="1"/>
    <d v="2015-06-02T00:00:00"/>
    <n v="8.82"/>
    <n v="20.99"/>
    <n v="12.169999999999998"/>
    <n v="18"/>
    <n v="377.82"/>
    <n v="0"/>
    <n v="0"/>
    <n v="377.82"/>
    <n v="4.8099999999999996"/>
    <n v="382.63"/>
  </r>
  <r>
    <s v="5923-1"/>
    <d v="2015-05-31T00:00:00"/>
    <x v="2"/>
    <x v="310"/>
    <s v="506 Swan Street,Richmond"/>
    <s v="Melbourne"/>
    <x v="0"/>
    <x v="2"/>
    <x v="1"/>
    <x v="4"/>
    <x v="29"/>
    <x v="1"/>
    <s v="Small Pack"/>
    <x v="0"/>
    <d v="2015-06-01T00:00:00"/>
    <n v="1.87"/>
    <n v="8.1199999999999992"/>
    <n v="6.2499999999999991"/>
    <n v="3"/>
    <n v="24.36"/>
    <n v="0.03"/>
    <n v="0.73080000000000001"/>
    <n v="23.629200000000001"/>
    <n v="2.83"/>
    <n v="26.459200000000003"/>
  </r>
  <r>
    <s v="5925-1"/>
    <d v="2015-05-31T00:00:00"/>
    <x v="2"/>
    <x v="392"/>
    <s v="Westfield 1 Anderson St,Chatswood"/>
    <s v="Sydney"/>
    <x v="1"/>
    <x v="0"/>
    <x v="3"/>
    <x v="2"/>
    <x v="90"/>
    <x v="0"/>
    <s v="Small Box"/>
    <x v="0"/>
    <d v="2015-06-05T00:00:00"/>
    <n v="14.95"/>
    <n v="34.76"/>
    <n v="19.809999999999999"/>
    <n v="43"/>
    <n v="1494.6799999999998"/>
    <n v="0.08"/>
    <n v="119.57439999999998"/>
    <n v="1375.1055999999999"/>
    <n v="8.2200000000000006"/>
    <n v="1383.3255999999999"/>
  </r>
  <r>
    <s v="5927-1"/>
    <d v="2015-06-01T00:00:00"/>
    <x v="2"/>
    <x v="293"/>
    <s v="412 Brunswick St,Fitzroy"/>
    <s v="Melbourne"/>
    <x v="0"/>
    <x v="1"/>
    <x v="1"/>
    <x v="2"/>
    <x v="116"/>
    <x v="0"/>
    <s v="Small Pack"/>
    <x v="0"/>
    <d v="2015-06-06T00:00:00"/>
    <n v="4.1900000000000004"/>
    <n v="10.23"/>
    <n v="6.04"/>
    <n v="35"/>
    <n v="358.05"/>
    <n v="0.01"/>
    <n v="3.5805000000000002"/>
    <n v="354.46950000000004"/>
    <n v="4.68"/>
    <n v="359.14950000000005"/>
  </r>
  <r>
    <s v="5928-1"/>
    <d v="2015-06-08T00:00:00"/>
    <x v="2"/>
    <x v="393"/>
    <s v="Shop 3/144 Waterloo Road,Greenacre"/>
    <s v="Sydney"/>
    <x v="1"/>
    <x v="2"/>
    <x v="6"/>
    <x v="1"/>
    <x v="93"/>
    <x v="1"/>
    <s v="Small Box"/>
    <x v="0"/>
    <d v="2015-06-10T00:00:00"/>
    <n v="62.4"/>
    <n v="155.99"/>
    <n v="93.59"/>
    <n v="21"/>
    <n v="3275.79"/>
    <n v="0.08"/>
    <n v="262.06319999999999"/>
    <n v="3013.7267999999999"/>
    <n v="8.08"/>
    <n v="3021.8067999999998"/>
  </r>
  <r>
    <s v="5930-1"/>
    <d v="2015-06-08T00:00:00"/>
    <x v="2"/>
    <x v="29"/>
    <s v="85-113 Dunning Ave,Rosebery"/>
    <s v="Sydney"/>
    <x v="1"/>
    <x v="0"/>
    <x v="11"/>
    <x v="3"/>
    <x v="110"/>
    <x v="1"/>
    <s v="Large Box"/>
    <x v="0"/>
    <d v="2015-06-09T00:00:00"/>
    <n v="377.99"/>
    <n v="599.99"/>
    <n v="222"/>
    <n v="41"/>
    <n v="24599.59"/>
    <n v="0.09"/>
    <n v="2213.9630999999999"/>
    <n v="22385.626899999999"/>
    <n v="24.49"/>
    <n v="22410.116900000001"/>
  </r>
  <r>
    <s v="5931-1"/>
    <d v="2015-06-10T00:00:00"/>
    <x v="2"/>
    <x v="394"/>
    <s v="333-339 Enmore Rd,Marrickville"/>
    <s v="Sydney"/>
    <x v="1"/>
    <x v="1"/>
    <x v="12"/>
    <x v="1"/>
    <x v="6"/>
    <x v="0"/>
    <s v="Small Box"/>
    <x v="0"/>
    <d v="2015-06-12T00:00:00"/>
    <n v="99.39"/>
    <n v="162.93"/>
    <n v="63.540000000000006"/>
    <n v="36"/>
    <n v="5865.4800000000005"/>
    <n v="0.09"/>
    <n v="527.89319999999998"/>
    <n v="5337.5868000000009"/>
    <n v="19.989999999999998"/>
    <n v="5357.5768000000007"/>
  </r>
  <r>
    <s v="5932-1"/>
    <d v="2015-06-10T00:00:00"/>
    <x v="2"/>
    <x v="69"/>
    <s v="224A Gertrude St,Fitzroy"/>
    <s v="Melbourne"/>
    <x v="0"/>
    <x v="1"/>
    <x v="1"/>
    <x v="2"/>
    <x v="18"/>
    <x v="0"/>
    <s v="Small Box"/>
    <x v="0"/>
    <d v="2015-06-14T00:00:00"/>
    <n v="3.52"/>
    <n v="5.68"/>
    <n v="2.1599999999999997"/>
    <n v="8"/>
    <n v="45.44"/>
    <n v="0.05"/>
    <n v="2.2719999999999998"/>
    <n v="43.167999999999999"/>
    <n v="1.39"/>
    <n v="44.558"/>
  </r>
  <r>
    <s v="5933-1"/>
    <d v="2015-06-11T00:00:00"/>
    <x v="2"/>
    <x v="395"/>
    <s v="96 Liverpool St,Sydney"/>
    <s v="Sydney"/>
    <x v="1"/>
    <x v="2"/>
    <x v="6"/>
    <x v="2"/>
    <x v="101"/>
    <x v="0"/>
    <s v="Small Pack"/>
    <x v="0"/>
    <d v="2015-06-11T00:00:00"/>
    <n v="3.51"/>
    <n v="8.57"/>
    <n v="5.0600000000000005"/>
    <n v="22"/>
    <n v="188.54000000000002"/>
    <n v="0.1"/>
    <n v="18.854000000000003"/>
    <n v="169.68600000000001"/>
    <n v="6.14"/>
    <n v="175.82599999999999"/>
  </r>
  <r>
    <s v="5935-1"/>
    <d v="2015-06-11T00:00:00"/>
    <x v="2"/>
    <x v="329"/>
    <s v="Sydney Fish Market, Bank Street, Sydney"/>
    <s v="Sydney"/>
    <x v="1"/>
    <x v="2"/>
    <x v="4"/>
    <x v="0"/>
    <x v="103"/>
    <x v="0"/>
    <s v="Wrap Bag"/>
    <x v="1"/>
    <d v="2015-06-13T00:00:00"/>
    <n v="0.93"/>
    <n v="1.6"/>
    <n v="0.67"/>
    <n v="24"/>
    <n v="38.400000000000006"/>
    <n v="0.04"/>
    <n v="1.5360000000000003"/>
    <n v="36.864000000000004"/>
    <n v="1.29"/>
    <n v="38.154000000000003"/>
  </r>
  <r>
    <s v="5937-1"/>
    <d v="2015-06-13T00:00:00"/>
    <x v="2"/>
    <x v="89"/>
    <s v="Macquarie Centre Cnr Herring Road &amp; Waterloo Road,Macquarie Park"/>
    <s v="Sydney"/>
    <x v="1"/>
    <x v="1"/>
    <x v="3"/>
    <x v="3"/>
    <x v="36"/>
    <x v="2"/>
    <s v="Small Pack"/>
    <x v="0"/>
    <d v="2015-06-16T00:00:00"/>
    <n v="5.5"/>
    <n v="12.22"/>
    <n v="6.7200000000000006"/>
    <n v="8"/>
    <n v="97.76"/>
    <n v="0.1"/>
    <n v="9.7760000000000016"/>
    <n v="87.984000000000009"/>
    <n v="2.85"/>
    <n v="90.834000000000003"/>
  </r>
  <r>
    <s v="5938-1"/>
    <d v="2015-06-14T00:00:00"/>
    <x v="2"/>
    <x v="396"/>
    <s v="101 Murray Street, Perth"/>
    <s v="Melbourne"/>
    <x v="0"/>
    <x v="0"/>
    <x v="1"/>
    <x v="0"/>
    <x v="64"/>
    <x v="0"/>
    <s v="Wrap Bag"/>
    <x v="0"/>
    <d v="2015-06-15T00:00:00"/>
    <n v="1.31"/>
    <n v="2.84"/>
    <n v="1.5299999999999998"/>
    <n v="23"/>
    <n v="65.319999999999993"/>
    <n v="0.06"/>
    <n v="3.9191999999999996"/>
    <n v="61.400799999999997"/>
    <n v="0.93"/>
    <n v="62.330799999999996"/>
  </r>
  <r>
    <s v="5939-1"/>
    <d v="2015-06-20T00:00:00"/>
    <x v="2"/>
    <x v="397"/>
    <s v="180 High Street,Windsor"/>
    <s v="Melbourne"/>
    <x v="0"/>
    <x v="3"/>
    <x v="1"/>
    <x v="3"/>
    <x v="14"/>
    <x v="0"/>
    <s v="Small Box"/>
    <x v="0"/>
    <d v="2015-06-22T00:00:00"/>
    <n v="4.59"/>
    <n v="7.28"/>
    <n v="2.6900000000000004"/>
    <n v="16"/>
    <n v="116.48"/>
    <n v="7.0000000000000007E-2"/>
    <n v="8.1536000000000008"/>
    <n v="108.32640000000001"/>
    <n v="11.15"/>
    <n v="119.47640000000001"/>
  </r>
  <r>
    <s v="5941-1"/>
    <d v="2015-06-21T00:00:00"/>
    <x v="2"/>
    <x v="398"/>
    <s v="10 O'Connell St,Sydney"/>
    <s v="Sydney"/>
    <x v="1"/>
    <x v="1"/>
    <x v="9"/>
    <x v="4"/>
    <x v="43"/>
    <x v="0"/>
    <s v="Small Box"/>
    <x v="0"/>
    <d v="2015-06-23T00:00:00"/>
    <n v="2.25"/>
    <n v="3.69"/>
    <n v="1.44"/>
    <n v="42"/>
    <n v="154.97999999999999"/>
    <n v="0.06"/>
    <n v="9.2987999999999982"/>
    <n v="145.68119999999999"/>
    <n v="2.5"/>
    <n v="148.18119999999999"/>
  </r>
  <r>
    <s v="5943-1"/>
    <d v="2015-06-25T00:00:00"/>
    <x v="2"/>
    <x v="176"/>
    <s v="2/797 Botany Rd,Rosebery"/>
    <s v="Sydney"/>
    <x v="1"/>
    <x v="0"/>
    <x v="6"/>
    <x v="4"/>
    <x v="5"/>
    <x v="0"/>
    <s v="Wrap Bag"/>
    <x v="0"/>
    <d v="2015-06-25T00:00:00"/>
    <n v="1.0900000000000001"/>
    <n v="2.6"/>
    <n v="1.51"/>
    <n v="26"/>
    <n v="67.600000000000009"/>
    <n v="0.08"/>
    <n v="5.4080000000000004"/>
    <n v="62.192000000000007"/>
    <n v="2.4"/>
    <n v="64.592000000000013"/>
  </r>
  <r>
    <s v="5943-2"/>
    <d v="2015-06-25T00:00:00"/>
    <x v="2"/>
    <x v="176"/>
    <s v="2/797 Botany Rd,Rosebery"/>
    <s v="Sydney"/>
    <x v="1"/>
    <x v="0"/>
    <x v="6"/>
    <x v="4"/>
    <x v="88"/>
    <x v="1"/>
    <s v="Small Box"/>
    <x v="0"/>
    <d v="2015-06-27T00:00:00"/>
    <n v="42.11"/>
    <n v="80.98"/>
    <n v="38.870000000000005"/>
    <n v="34"/>
    <n v="2753.32"/>
    <n v="0.02"/>
    <n v="55.066400000000002"/>
    <n v="2698.2536"/>
    <n v="7.18"/>
    <n v="2705.4335999999998"/>
  </r>
  <r>
    <s v="5944-1"/>
    <d v="2015-06-25T00:00:00"/>
    <x v="2"/>
    <x v="399"/>
    <s v="32/82 King Street, Perth"/>
    <s v="Sydney"/>
    <x v="1"/>
    <x v="2"/>
    <x v="8"/>
    <x v="0"/>
    <x v="38"/>
    <x v="0"/>
    <s v="Small Box"/>
    <x v="1"/>
    <d v="2015-06-26T00:00:00"/>
    <n v="1.18"/>
    <n v="1.88"/>
    <n v="0.7"/>
    <n v="5"/>
    <n v="9.3999999999999986"/>
    <n v="0.08"/>
    <n v="0.75199999999999989"/>
    <n v="8.6479999999999979"/>
    <n v="1.49"/>
    <n v="10.137999999999998"/>
  </r>
  <r>
    <s v="5947-1"/>
    <d v="2015-06-27T00:00:00"/>
    <x v="2"/>
    <x v="400"/>
    <s v="180 High Street,Windsor"/>
    <s v="Melbourne"/>
    <x v="0"/>
    <x v="1"/>
    <x v="1"/>
    <x v="4"/>
    <x v="70"/>
    <x v="0"/>
    <s v="Small Box"/>
    <x v="0"/>
    <d v="2015-06-29T00:00:00"/>
    <n v="3.65"/>
    <n v="5.98"/>
    <n v="2.3300000000000005"/>
    <n v="50"/>
    <n v="299"/>
    <n v="0.02"/>
    <n v="5.98"/>
    <n v="293.02"/>
    <n v="1.49"/>
    <n v="294.51"/>
  </r>
  <r>
    <s v="5949-1"/>
    <d v="2015-06-27T00:00:00"/>
    <x v="2"/>
    <x v="401"/>
    <s v="14 Money Street, Perth"/>
    <s v="Melbourne"/>
    <x v="0"/>
    <x v="1"/>
    <x v="1"/>
    <x v="0"/>
    <x v="76"/>
    <x v="0"/>
    <s v="Wrap Bag"/>
    <x v="0"/>
    <d v="2015-06-27T00:00:00"/>
    <n v="1.53"/>
    <n v="2.78"/>
    <n v="1.2499999999999998"/>
    <n v="44"/>
    <n v="122.32"/>
    <n v="7.0000000000000007E-2"/>
    <n v="8.5624000000000002"/>
    <n v="113.7576"/>
    <n v="1.34"/>
    <n v="115.0976"/>
  </r>
  <r>
    <s v="5951-1"/>
    <d v="2015-06-27T00:00:00"/>
    <x v="2"/>
    <x v="392"/>
    <s v="Westfield 1 Anderson St,Chatswood"/>
    <s v="Sydney"/>
    <x v="1"/>
    <x v="1"/>
    <x v="3"/>
    <x v="3"/>
    <x v="83"/>
    <x v="0"/>
    <s v="Small Box"/>
    <x v="0"/>
    <d v="2015-06-29T00:00:00"/>
    <n v="2.1800000000000002"/>
    <n v="3.52"/>
    <n v="1.3399999999999999"/>
    <n v="1"/>
    <n v="3.52"/>
    <n v="0.04"/>
    <n v="0.14080000000000001"/>
    <n v="3.3792"/>
    <n v="6.83"/>
    <n v="10.209199999999999"/>
  </r>
  <r>
    <s v="5952-1"/>
    <d v="2015-06-28T00:00:00"/>
    <x v="2"/>
    <x v="174"/>
    <s v="1-2/299 Sussex St,Sydney"/>
    <s v="Sydney"/>
    <x v="1"/>
    <x v="3"/>
    <x v="9"/>
    <x v="4"/>
    <x v="86"/>
    <x v="0"/>
    <s v="Small Box"/>
    <x v="1"/>
    <d v="2015-06-30T00:00:00"/>
    <n v="2.4500000000000002"/>
    <n v="3.89"/>
    <n v="1.44"/>
    <n v="32"/>
    <n v="124.48"/>
    <n v="0.1"/>
    <n v="12.448"/>
    <n v="112.03200000000001"/>
    <n v="7.01"/>
    <n v="119.04200000000002"/>
  </r>
  <r>
    <s v="5955-1"/>
    <d v="2015-06-28T00:00:00"/>
    <x v="2"/>
    <x v="402"/>
    <s v="501 George St,Sydney"/>
    <s v="Sydney"/>
    <x v="1"/>
    <x v="1"/>
    <x v="6"/>
    <x v="3"/>
    <x v="68"/>
    <x v="1"/>
    <s v="Small Box"/>
    <x v="0"/>
    <d v="2015-06-29T00:00:00"/>
    <n v="6.51"/>
    <n v="30.98"/>
    <n v="24.47"/>
    <n v="6"/>
    <n v="185.88"/>
    <n v="0.01"/>
    <n v="1.8588"/>
    <n v="184.02119999999999"/>
    <n v="6.5"/>
    <n v="190.52119999999999"/>
  </r>
  <r>
    <s v="5956-1"/>
    <d v="2015-06-29T00:00:00"/>
    <x v="2"/>
    <x v="403"/>
    <s v="155 Oxford Street,Darlinghurst"/>
    <s v="Sydney"/>
    <x v="1"/>
    <x v="0"/>
    <x v="6"/>
    <x v="2"/>
    <x v="128"/>
    <x v="0"/>
    <s v="Small Box"/>
    <x v="0"/>
    <d v="2015-07-03T00:00:00"/>
    <n v="1.84"/>
    <n v="2.88"/>
    <n v="1.0399999999999998"/>
    <n v="49"/>
    <n v="141.12"/>
    <n v="0.01"/>
    <n v="1.4112"/>
    <n v="139.7088"/>
    <n v="0.99"/>
    <n v="140.69880000000001"/>
  </r>
  <r>
    <s v="5960-1"/>
    <d v="2015-07-02T00:00:00"/>
    <x v="2"/>
    <x v="404"/>
    <s v="1-2/299 Sussex St,Sydney"/>
    <s v="Sydney"/>
    <x v="1"/>
    <x v="0"/>
    <x v="9"/>
    <x v="1"/>
    <x v="55"/>
    <x v="0"/>
    <s v="Wrap Bag"/>
    <x v="0"/>
    <d v="2015-07-04T00:00:00"/>
    <n v="11.11"/>
    <n v="19.84"/>
    <n v="8.73"/>
    <n v="1"/>
    <n v="19.84"/>
    <n v="0.05"/>
    <n v="0.99199999999999999"/>
    <n v="18.847999999999999"/>
    <n v="4.0999999999999996"/>
    <n v="22.948"/>
  </r>
  <r>
    <s v="5962-1"/>
    <d v="2015-07-04T00:00:00"/>
    <x v="2"/>
    <x v="405"/>
    <s v="53-55 Liverpool Street,Sydney"/>
    <s v="Sydney"/>
    <x v="1"/>
    <x v="1"/>
    <x v="8"/>
    <x v="3"/>
    <x v="102"/>
    <x v="2"/>
    <s v="Small Pack"/>
    <x v="0"/>
    <d v="2015-07-04T00:00:00"/>
    <n v="11.38"/>
    <n v="18.649999999999999"/>
    <n v="7.2699999999999978"/>
    <n v="44"/>
    <n v="820.59999999999991"/>
    <n v="0.03"/>
    <n v="24.617999999999995"/>
    <n v="795.98199999999997"/>
    <n v="3.77"/>
    <n v="799.75199999999995"/>
  </r>
  <r>
    <s v="5964-1"/>
    <d v="2015-07-04T00:00:00"/>
    <x v="2"/>
    <x v="390"/>
    <s v="Cnr Williams Road &amp; Lechlade Ave,South Yarra"/>
    <s v="Melbourne"/>
    <x v="0"/>
    <x v="1"/>
    <x v="0"/>
    <x v="0"/>
    <x v="61"/>
    <x v="0"/>
    <s v="Small Box"/>
    <x v="0"/>
    <d v="2015-07-05T00:00:00"/>
    <n v="2.74"/>
    <n v="4.49"/>
    <n v="1.75"/>
    <n v="15"/>
    <n v="67.350000000000009"/>
    <n v="0.05"/>
    <n v="3.3675000000000006"/>
    <n v="63.982500000000009"/>
    <n v="1.49"/>
    <n v="65.472500000000011"/>
  </r>
  <r>
    <s v="5965-1"/>
    <d v="2015-07-05T00:00:00"/>
    <x v="2"/>
    <x v="168"/>
    <s v="4A Lyons St,Strathfield"/>
    <s v="Sydney"/>
    <x v="1"/>
    <x v="0"/>
    <x v="8"/>
    <x v="1"/>
    <x v="30"/>
    <x v="1"/>
    <s v="Medium Box"/>
    <x v="0"/>
    <d v="2015-07-07T00:00:00"/>
    <n v="8.82"/>
    <n v="20.99"/>
    <n v="12.169999999999998"/>
    <n v="49"/>
    <n v="1028.51"/>
    <n v="0.06"/>
    <n v="61.710599999999999"/>
    <n v="966.79939999999999"/>
    <n v="4.8099999999999996"/>
    <n v="971.60939999999994"/>
  </r>
  <r>
    <s v="5967-1"/>
    <d v="2015-07-09T00:00:00"/>
    <x v="2"/>
    <x v="361"/>
    <s v="402 Argyle St,Moss Vale"/>
    <s v="Sydney"/>
    <x v="1"/>
    <x v="0"/>
    <x v="5"/>
    <x v="3"/>
    <x v="84"/>
    <x v="2"/>
    <s v="Large Box"/>
    <x v="0"/>
    <d v="2015-07-10T00:00:00"/>
    <n v="56.16"/>
    <n v="136.97999999999999"/>
    <n v="80.819999999999993"/>
    <n v="7"/>
    <n v="958.8599999999999"/>
    <n v="0.02"/>
    <n v="19.177199999999999"/>
    <n v="939.68279999999993"/>
    <n v="24.49"/>
    <n v="964.17279999999994"/>
  </r>
  <r>
    <s v="5968-1"/>
    <d v="2015-07-11T00:00:00"/>
    <x v="2"/>
    <x v="327"/>
    <s v="105 Pitt St,Sydney"/>
    <s v="Sydney"/>
    <x v="1"/>
    <x v="3"/>
    <x v="10"/>
    <x v="4"/>
    <x v="139"/>
    <x v="0"/>
    <s v="Wrap Bag"/>
    <x v="0"/>
    <d v="2015-07-13T00:00:00"/>
    <n v="0.94"/>
    <n v="1.88"/>
    <n v="0.94"/>
    <n v="22"/>
    <n v="41.36"/>
    <n v="7.0000000000000007E-2"/>
    <n v="2.8952000000000004"/>
    <n v="38.464799999999997"/>
    <n v="0.79"/>
    <n v="39.254799999999996"/>
  </r>
  <r>
    <s v="5969-1"/>
    <d v="2015-07-12T00:00:00"/>
    <x v="2"/>
    <x v="406"/>
    <s v="1 John Street,Waterloo"/>
    <s v="Sydney"/>
    <x v="1"/>
    <x v="0"/>
    <x v="10"/>
    <x v="2"/>
    <x v="95"/>
    <x v="0"/>
    <s v="Small Box"/>
    <x v="0"/>
    <d v="2015-07-14T00:00:00"/>
    <n v="11.04"/>
    <n v="16.98"/>
    <n v="5.9400000000000013"/>
    <n v="1"/>
    <n v="16.98"/>
    <n v="0.03"/>
    <n v="0.50939999999999996"/>
    <n v="16.470600000000001"/>
    <n v="12.39"/>
    <n v="28.860600000000002"/>
  </r>
  <r>
    <s v="5971-1"/>
    <d v="2015-07-14T00:00:00"/>
    <x v="2"/>
    <x v="56"/>
    <s v="188 Pitt Street,Sydney"/>
    <s v="Sydney"/>
    <x v="1"/>
    <x v="3"/>
    <x v="8"/>
    <x v="2"/>
    <x v="47"/>
    <x v="0"/>
    <s v="Wrap Bag"/>
    <x v="1"/>
    <d v="2015-07-19T00:00:00"/>
    <n v="3.48"/>
    <n v="5.43"/>
    <n v="1.9499999999999997"/>
    <n v="48"/>
    <n v="260.64"/>
    <n v="0.05"/>
    <n v="13.032"/>
    <n v="247.60799999999998"/>
    <n v="0.95"/>
    <n v="248.55799999999996"/>
  </r>
  <r>
    <s v="5973-1"/>
    <d v="2015-07-15T00:00:00"/>
    <x v="2"/>
    <x v="407"/>
    <s v="1/20 Pendal Lane, Perth"/>
    <s v="Sydney"/>
    <x v="1"/>
    <x v="2"/>
    <x v="4"/>
    <x v="2"/>
    <x v="98"/>
    <x v="0"/>
    <s v="Wrap Bag"/>
    <x v="0"/>
    <d v="2015-07-19T00:00:00"/>
    <n v="5.22"/>
    <n v="9.85"/>
    <n v="4.63"/>
    <n v="21"/>
    <n v="206.85"/>
    <n v="0.1"/>
    <n v="20.685000000000002"/>
    <n v="186.16499999999999"/>
    <n v="4.82"/>
    <n v="190.98499999999999"/>
  </r>
  <r>
    <s v="5974-1"/>
    <d v="2015-07-16T00:00:00"/>
    <x v="2"/>
    <x v="225"/>
    <s v="99 Lygon Street,East Brunswick"/>
    <s v="Melbourne"/>
    <x v="0"/>
    <x v="1"/>
    <x v="1"/>
    <x v="2"/>
    <x v="133"/>
    <x v="0"/>
    <s v="Wrap Bag"/>
    <x v="0"/>
    <d v="2015-07-20T00:00:00"/>
    <n v="0.92"/>
    <n v="1.81"/>
    <n v="0.89"/>
    <n v="48"/>
    <n v="86.88"/>
    <n v="0.02"/>
    <n v="1.7376"/>
    <n v="85.142399999999995"/>
    <n v="1.56"/>
    <n v="86.702399999999997"/>
  </r>
  <r>
    <s v="5976-1"/>
    <d v="2015-07-17T00:00:00"/>
    <x v="2"/>
    <x v="408"/>
    <s v="3/265 Stirling Street, Perth"/>
    <s v="Sydney"/>
    <x v="1"/>
    <x v="3"/>
    <x v="6"/>
    <x v="0"/>
    <x v="2"/>
    <x v="0"/>
    <s v="Wrap Bag"/>
    <x v="0"/>
    <d v="2015-07-17T00:00:00"/>
    <n v="2.41"/>
    <n v="3.71"/>
    <n v="1.2999999999999998"/>
    <n v="13"/>
    <n v="48.23"/>
    <n v="0.06"/>
    <n v="2.8937999999999997"/>
    <n v="45.336199999999998"/>
    <n v="1.93"/>
    <n v="47.266199999999998"/>
  </r>
  <r>
    <s v="5977-1"/>
    <d v="2015-07-18T00:00:00"/>
    <x v="2"/>
    <x v="132"/>
    <s v="1/160 Anzac Parade,Kensington"/>
    <s v="Sydney"/>
    <x v="1"/>
    <x v="1"/>
    <x v="5"/>
    <x v="0"/>
    <x v="89"/>
    <x v="0"/>
    <s v="Small Pack"/>
    <x v="0"/>
    <d v="2015-07-20T00:00:00"/>
    <n v="2.5"/>
    <n v="5.68"/>
    <n v="3.1799999999999997"/>
    <n v="21"/>
    <n v="119.28"/>
    <n v="7.0000000000000007E-2"/>
    <n v="8.3496000000000006"/>
    <n v="110.93040000000001"/>
    <n v="3.6"/>
    <n v="114.5304"/>
  </r>
  <r>
    <s v="5978-1"/>
    <d v="2015-07-18T00:00:00"/>
    <x v="2"/>
    <x v="3"/>
    <s v="3 Carrington Road ,Box Hill"/>
    <s v="Melbourne"/>
    <x v="0"/>
    <x v="1"/>
    <x v="0"/>
    <x v="0"/>
    <x v="77"/>
    <x v="0"/>
    <s v="Small Box"/>
    <x v="0"/>
    <d v="2015-07-20T00:00:00"/>
    <n v="2.2599999999999998"/>
    <n v="3.58"/>
    <n v="1.3200000000000003"/>
    <n v="43"/>
    <n v="153.94"/>
    <n v="0.08"/>
    <n v="12.315200000000001"/>
    <n v="141.62479999999999"/>
    <n v="5.47"/>
    <n v="147.09479999999999"/>
  </r>
  <r>
    <s v="5980-1"/>
    <d v="2015-07-19T00:00:00"/>
    <x v="2"/>
    <x v="24"/>
    <s v="240-242 Johnston Street,Fitzroy"/>
    <s v="Melbourne"/>
    <x v="0"/>
    <x v="3"/>
    <x v="1"/>
    <x v="4"/>
    <x v="80"/>
    <x v="0"/>
    <s v="Small Box"/>
    <x v="0"/>
    <d v="2015-07-20T00:00:00"/>
    <n v="3.5"/>
    <n v="5.74"/>
    <n v="2.2400000000000002"/>
    <n v="41"/>
    <n v="235.34"/>
    <n v="0.08"/>
    <n v="18.827200000000001"/>
    <n v="216.5128"/>
    <n v="5.01"/>
    <n v="221.52279999999999"/>
  </r>
  <r>
    <s v="5982-1"/>
    <d v="2015-07-20T00:00:00"/>
    <x v="2"/>
    <x v="114"/>
    <s v="523 King St,Newtown"/>
    <s v="Sydney"/>
    <x v="1"/>
    <x v="2"/>
    <x v="9"/>
    <x v="1"/>
    <x v="107"/>
    <x v="0"/>
    <s v="Small Pack"/>
    <x v="0"/>
    <d v="2015-07-23T00:00:00"/>
    <n v="4.0999999999999996"/>
    <n v="9.31"/>
    <n v="5.2100000000000009"/>
    <n v="26"/>
    <n v="242.06"/>
    <n v="0.06"/>
    <n v="14.5236"/>
    <n v="227.53640000000001"/>
    <n v="3.98"/>
    <n v="231.5164"/>
  </r>
  <r>
    <s v="5983-1"/>
    <d v="2015-07-23T00:00:00"/>
    <x v="2"/>
    <x v="409"/>
    <s v="53 Riley Street,Woolloomooloo"/>
    <s v="Sydney"/>
    <x v="1"/>
    <x v="0"/>
    <x v="8"/>
    <x v="2"/>
    <x v="24"/>
    <x v="1"/>
    <s v="Small Box"/>
    <x v="0"/>
    <d v="2015-07-30T00:00:00"/>
    <n v="32.020000000000003"/>
    <n v="152.47999999999999"/>
    <n v="120.45999999999998"/>
    <n v="14"/>
    <n v="2134.7199999999998"/>
    <n v="0.03"/>
    <n v="64.041599999999988"/>
    <n v="2070.6783999999998"/>
    <n v="4"/>
    <n v="2074.6783999999998"/>
  </r>
  <r>
    <s v="5984-1"/>
    <d v="2015-07-23T00:00:00"/>
    <x v="2"/>
    <x v="410"/>
    <s v="188 Pitt Street,Sydney"/>
    <s v="Sydney"/>
    <x v="1"/>
    <x v="1"/>
    <x v="8"/>
    <x v="3"/>
    <x v="87"/>
    <x v="0"/>
    <s v="Wrap Bag"/>
    <x v="1"/>
    <d v="2015-07-24T00:00:00"/>
    <n v="3.32"/>
    <n v="5.18"/>
    <n v="1.8599999999999999"/>
    <n v="1"/>
    <n v="5.18"/>
    <n v="0"/>
    <n v="0"/>
    <n v="5.18"/>
    <n v="2.04"/>
    <n v="7.22"/>
  </r>
  <r>
    <s v="5985-1"/>
    <d v="2015-07-23T00:00:00"/>
    <x v="2"/>
    <x v="68"/>
    <s v="240-242 Johnston Street,Fitzroy"/>
    <s v="Melbourne"/>
    <x v="0"/>
    <x v="2"/>
    <x v="1"/>
    <x v="1"/>
    <x v="38"/>
    <x v="0"/>
    <s v="Small Box"/>
    <x v="0"/>
    <d v="2015-07-24T00:00:00"/>
    <n v="1.18"/>
    <n v="1.88"/>
    <n v="0.7"/>
    <n v="8"/>
    <n v="15.04"/>
    <n v="0.05"/>
    <n v="0.752"/>
    <n v="14.287999999999998"/>
    <n v="1.49"/>
    <n v="15.777999999999999"/>
  </r>
  <r>
    <s v="5987-1"/>
    <d v="2015-07-24T00:00:00"/>
    <x v="2"/>
    <x v="411"/>
    <s v="120 Hardware St,Melbourne"/>
    <s v="Melbourne"/>
    <x v="0"/>
    <x v="0"/>
    <x v="1"/>
    <x v="0"/>
    <x v="136"/>
    <x v="0"/>
    <s v="Small Box"/>
    <x v="0"/>
    <d v="2015-07-26T00:00:00"/>
    <n v="1.19"/>
    <n v="1.98"/>
    <n v="0.79"/>
    <n v="21"/>
    <n v="41.58"/>
    <n v="0.01"/>
    <n v="0.4158"/>
    <n v="41.164200000000001"/>
    <n v="4.7699999999999996"/>
    <n v="45.934200000000004"/>
  </r>
  <r>
    <s v="5988-1"/>
    <d v="2015-07-24T00:00:00"/>
    <x v="2"/>
    <x v="251"/>
    <s v="81 MacLeay St,Potts Point"/>
    <s v="Sydney"/>
    <x v="1"/>
    <x v="1"/>
    <x v="6"/>
    <x v="0"/>
    <x v="100"/>
    <x v="0"/>
    <s v="Wrap Bag"/>
    <x v="0"/>
    <d v="2015-07-26T00:00:00"/>
    <n v="1.76"/>
    <n v="2.94"/>
    <n v="1.18"/>
    <n v="35"/>
    <n v="102.89999999999999"/>
    <n v="0.09"/>
    <n v="9.2609999999999992"/>
    <n v="93.638999999999996"/>
    <n v="0.81"/>
    <n v="94.448999999999998"/>
  </r>
  <r>
    <s v="5990-1"/>
    <d v="2015-07-25T00:00:00"/>
    <x v="2"/>
    <x v="412"/>
    <s v="101 Murray Street, Perth"/>
    <s v="Melbourne"/>
    <x v="0"/>
    <x v="0"/>
    <x v="0"/>
    <x v="0"/>
    <x v="127"/>
    <x v="0"/>
    <s v="Wrap Bag"/>
    <x v="1"/>
    <d v="2015-07-26T00:00:00"/>
    <n v="1.88"/>
    <n v="3.14"/>
    <n v="1.2600000000000002"/>
    <n v="43"/>
    <n v="135.02000000000001"/>
    <n v="7.0000000000000007E-2"/>
    <n v="9.4514000000000014"/>
    <n v="125.5686"/>
    <n v="1.1399999999999999"/>
    <n v="126.7086"/>
  </r>
  <r>
    <s v="5990-2"/>
    <d v="2015-07-25T00:00:00"/>
    <x v="2"/>
    <x v="412"/>
    <s v="101 Murray Street, Perth"/>
    <s v="Melbourne"/>
    <x v="0"/>
    <x v="0"/>
    <x v="0"/>
    <x v="0"/>
    <x v="78"/>
    <x v="0"/>
    <s v="Small Pack"/>
    <x v="0"/>
    <d v="2015-07-27T00:00:00"/>
    <n v="1.46"/>
    <n v="3.57"/>
    <n v="2.11"/>
    <n v="19"/>
    <n v="67.83"/>
    <n v="0.08"/>
    <n v="5.4264000000000001"/>
    <n v="62.403599999999997"/>
    <n v="4.17"/>
    <n v="66.573599999999999"/>
  </r>
  <r>
    <s v="5993-1"/>
    <d v="2015-07-25T00:00:00"/>
    <x v="2"/>
    <x v="378"/>
    <s v="Crown Complex,Southbank"/>
    <s v="Melbourne"/>
    <x v="0"/>
    <x v="0"/>
    <x v="0"/>
    <x v="1"/>
    <x v="58"/>
    <x v="0"/>
    <s v="Small Box"/>
    <x v="0"/>
    <d v="2015-07-28T00:00:00"/>
    <n v="1.98"/>
    <n v="3.15"/>
    <n v="1.17"/>
    <n v="17"/>
    <n v="53.55"/>
    <n v="0.05"/>
    <n v="2.6775000000000002"/>
    <n v="50.872499999999995"/>
    <n v="0.49"/>
    <n v="51.362499999999997"/>
  </r>
  <r>
    <s v="5994-1"/>
    <d v="2015-07-26T00:00:00"/>
    <x v="2"/>
    <x v="29"/>
    <s v="85-113 Dunning Ave,Rosebery"/>
    <s v="Sydney"/>
    <x v="1"/>
    <x v="2"/>
    <x v="11"/>
    <x v="4"/>
    <x v="14"/>
    <x v="0"/>
    <s v="Small Box"/>
    <x v="1"/>
    <d v="2015-07-27T00:00:00"/>
    <n v="4.59"/>
    <n v="7.28"/>
    <n v="2.6900000000000004"/>
    <n v="20"/>
    <n v="145.6"/>
    <n v="0.1"/>
    <n v="14.56"/>
    <n v="131.04"/>
    <n v="11.15"/>
    <n v="142.19"/>
  </r>
  <r>
    <s v="5996-1"/>
    <d v="2015-07-26T00:00:00"/>
    <x v="2"/>
    <x v="298"/>
    <s v="6 Mary St,Newtown"/>
    <s v="Sydney"/>
    <x v="1"/>
    <x v="1"/>
    <x v="6"/>
    <x v="0"/>
    <x v="94"/>
    <x v="0"/>
    <s v="Small Box"/>
    <x v="0"/>
    <d v="2015-07-26T00:00:00"/>
    <n v="4.53"/>
    <n v="7.3"/>
    <n v="2.7699999999999996"/>
    <n v="12"/>
    <n v="87.6"/>
    <n v="0.03"/>
    <n v="2.6279999999999997"/>
    <n v="84.971999999999994"/>
    <n v="7.72"/>
    <n v="92.691999999999993"/>
  </r>
  <r>
    <s v="5997-1"/>
    <d v="2015-07-27T00:00:00"/>
    <x v="2"/>
    <x v="332"/>
    <s v="8 Rankins Lane ,Melbourne"/>
    <s v="Melbourne"/>
    <x v="0"/>
    <x v="3"/>
    <x v="1"/>
    <x v="2"/>
    <x v="81"/>
    <x v="0"/>
    <s v="Wrap Bag"/>
    <x v="1"/>
    <d v="2015-07-31T00:00:00"/>
    <n v="0.93"/>
    <n v="1.48"/>
    <n v="0.54999999999999993"/>
    <n v="37"/>
    <n v="54.76"/>
    <n v="0.04"/>
    <n v="2.1903999999999999"/>
    <n v="52.569600000000001"/>
    <n v="0.7"/>
    <n v="53.269600000000004"/>
  </r>
  <r>
    <s v="5997-2"/>
    <d v="2015-07-27T00:00:00"/>
    <x v="2"/>
    <x v="332"/>
    <s v="8 Rankins Lane ,Melbourne"/>
    <s v="Melbourne"/>
    <x v="0"/>
    <x v="3"/>
    <x v="1"/>
    <x v="2"/>
    <x v="55"/>
    <x v="0"/>
    <s v="Wrap Bag"/>
    <x v="0"/>
    <d v="2015-08-01T00:00:00"/>
    <n v="11.11"/>
    <n v="19.84"/>
    <n v="8.73"/>
    <n v="28"/>
    <n v="555.52"/>
    <n v="0.08"/>
    <n v="44.441600000000001"/>
    <n v="511.07839999999999"/>
    <n v="4.0999999999999996"/>
    <n v="515.17840000000001"/>
  </r>
  <r>
    <s v="6000-1"/>
    <d v="2015-07-29T00:00:00"/>
    <x v="2"/>
    <x v="413"/>
    <s v="180 High Street,Windsor"/>
    <s v="Melbourne"/>
    <x v="0"/>
    <x v="1"/>
    <x v="1"/>
    <x v="0"/>
    <x v="76"/>
    <x v="0"/>
    <s v="Wrap Bag"/>
    <x v="0"/>
    <d v="2015-07-31T00:00:00"/>
    <n v="1.53"/>
    <n v="2.78"/>
    <n v="1.2499999999999998"/>
    <n v="38"/>
    <n v="105.63999999999999"/>
    <n v="0.1"/>
    <n v="10.564"/>
    <n v="95.075999999999993"/>
    <n v="1.34"/>
    <n v="96.415999999999997"/>
  </r>
  <r>
    <s v="6001-1"/>
    <d v="2015-07-29T00:00:00"/>
    <x v="2"/>
    <x v="414"/>
    <s v="324A King St,Newtown"/>
    <s v="Sydney"/>
    <x v="1"/>
    <x v="0"/>
    <x v="11"/>
    <x v="3"/>
    <x v="8"/>
    <x v="0"/>
    <s v="Small Box"/>
    <x v="0"/>
    <d v="2015-07-30T00:00:00"/>
    <n v="54.29"/>
    <n v="90.48"/>
    <n v="36.190000000000005"/>
    <n v="15"/>
    <n v="1357.2"/>
    <n v="0.01"/>
    <n v="13.572000000000001"/>
    <n v="1343.6280000000002"/>
    <n v="19.989999999999998"/>
    <n v="1363.6180000000002"/>
  </r>
  <r>
    <s v="6002-1"/>
    <d v="2015-07-30T00:00:00"/>
    <x v="2"/>
    <x v="415"/>
    <s v="501 George St,Sydney"/>
    <s v="Sydney"/>
    <x v="1"/>
    <x v="0"/>
    <x v="6"/>
    <x v="0"/>
    <x v="97"/>
    <x v="0"/>
    <s v="Small Box"/>
    <x v="1"/>
    <d v="2015-07-31T00:00:00"/>
    <n v="2.29"/>
    <n v="3.69"/>
    <n v="1.4"/>
    <n v="48"/>
    <n v="177.12"/>
    <n v="0.1"/>
    <n v="17.712"/>
    <n v="159.40800000000002"/>
    <n v="0.5"/>
    <n v="159.90800000000002"/>
  </r>
  <r>
    <s v="6003-1"/>
    <d v="2015-07-30T00:00:00"/>
    <x v="2"/>
    <x v="202"/>
    <s v="438 Victoria Avenue,Chatswood"/>
    <s v="Sydney"/>
    <x v="1"/>
    <x v="0"/>
    <x v="5"/>
    <x v="4"/>
    <x v="130"/>
    <x v="1"/>
    <s v="Small Box"/>
    <x v="1"/>
    <d v="2015-07-31T00:00:00"/>
    <n v="14.7"/>
    <n v="29.99"/>
    <n v="15.29"/>
    <n v="27"/>
    <n v="809.7299999999999"/>
    <n v="0.05"/>
    <n v="40.486499999999999"/>
    <n v="769.24349999999993"/>
    <n v="5.5"/>
    <n v="774.74349999999993"/>
  </r>
  <r>
    <s v="6005-1"/>
    <d v="2015-08-01T00:00:00"/>
    <x v="2"/>
    <x v="90"/>
    <s v="470 Anzac Parade,Kingsford"/>
    <s v="Sydney"/>
    <x v="1"/>
    <x v="0"/>
    <x v="8"/>
    <x v="1"/>
    <x v="88"/>
    <x v="1"/>
    <s v="Small Box"/>
    <x v="0"/>
    <d v="2015-08-03T00:00:00"/>
    <n v="42.11"/>
    <n v="80.98"/>
    <n v="38.870000000000005"/>
    <n v="22"/>
    <n v="1781.5600000000002"/>
    <n v="0.1"/>
    <n v="178.15600000000003"/>
    <n v="1603.4040000000002"/>
    <n v="7.18"/>
    <n v="1610.5840000000003"/>
  </r>
  <r>
    <s v="6006-1"/>
    <d v="2015-08-02T00:00:00"/>
    <x v="2"/>
    <x v="416"/>
    <s v="5/250 Old Northern Road,Castle Hill"/>
    <s v="Sydney"/>
    <x v="1"/>
    <x v="0"/>
    <x v="3"/>
    <x v="3"/>
    <x v="67"/>
    <x v="1"/>
    <s v="Large Box"/>
    <x v="0"/>
    <d v="2015-08-04T00:00:00"/>
    <n v="216"/>
    <n v="449.99"/>
    <n v="233.99"/>
    <n v="29"/>
    <n v="13049.710000000001"/>
    <n v="0"/>
    <n v="0"/>
    <n v="13049.710000000001"/>
    <n v="24.49"/>
    <n v="13074.2"/>
  </r>
  <r>
    <s v="6007-1"/>
    <d v="2015-08-02T00:00:00"/>
    <x v="2"/>
    <x v="417"/>
    <s v="Crown Complex,Southbank"/>
    <s v="Melbourne"/>
    <x v="0"/>
    <x v="2"/>
    <x v="1"/>
    <x v="3"/>
    <x v="44"/>
    <x v="0"/>
    <s v="Small Box"/>
    <x v="0"/>
    <d v="2015-08-04T00:00:00"/>
    <n v="12.39"/>
    <n v="19.98"/>
    <n v="7.59"/>
    <n v="44"/>
    <n v="879.12"/>
    <n v="7.0000000000000007E-2"/>
    <n v="61.538400000000003"/>
    <n v="817.58159999999998"/>
    <n v="5.77"/>
    <n v="823.35159999999996"/>
  </r>
  <r>
    <s v="6009-1"/>
    <d v="2015-08-03T00:00:00"/>
    <x v="2"/>
    <x v="334"/>
    <s v="1 John St,Waterloo"/>
    <s v="Sydney"/>
    <x v="1"/>
    <x v="1"/>
    <x v="10"/>
    <x v="2"/>
    <x v="56"/>
    <x v="0"/>
    <s v="Small Box"/>
    <x v="0"/>
    <d v="2015-08-08T00:00:00"/>
    <n v="1.33"/>
    <n v="2.08"/>
    <n v="0.75"/>
    <n v="20"/>
    <n v="41.6"/>
    <n v="0.1"/>
    <n v="4.16"/>
    <n v="37.44"/>
    <n v="1.49"/>
    <n v="38.93"/>
  </r>
  <r>
    <s v="6011-1"/>
    <d v="2015-08-07T00:00:00"/>
    <x v="2"/>
    <x v="367"/>
    <s v="3/265 Stirling Street, Perth"/>
    <s v="Sydney"/>
    <x v="1"/>
    <x v="1"/>
    <x v="2"/>
    <x v="1"/>
    <x v="111"/>
    <x v="0"/>
    <s v="Wrap Bag"/>
    <x v="0"/>
    <d v="2015-08-08T00:00:00"/>
    <n v="2.59"/>
    <n v="3.98"/>
    <n v="1.3900000000000001"/>
    <n v="16"/>
    <n v="63.68"/>
    <n v="0.09"/>
    <n v="5.7311999999999994"/>
    <n v="57.948799999999999"/>
    <n v="2.97"/>
    <n v="60.918799999999997"/>
  </r>
  <r>
    <s v="6012-1"/>
    <d v="2015-08-08T00:00:00"/>
    <x v="2"/>
    <x v="164"/>
    <s v="541 Church St,Richmond"/>
    <s v="Melbourne"/>
    <x v="0"/>
    <x v="1"/>
    <x v="0"/>
    <x v="0"/>
    <x v="9"/>
    <x v="0"/>
    <s v="Small Box"/>
    <x v="1"/>
    <d v="2015-08-09T00:00:00"/>
    <n v="5.33"/>
    <n v="8.6"/>
    <n v="3.2699999999999996"/>
    <n v="15"/>
    <n v="129"/>
    <n v="0.04"/>
    <n v="5.16"/>
    <n v="123.84"/>
    <n v="6.19"/>
    <n v="130.03"/>
  </r>
  <r>
    <s v="6014-1"/>
    <d v="2015-08-10T00:00:00"/>
    <x v="2"/>
    <x v="418"/>
    <s v="7 Khartoum Rd,Macquarie Park"/>
    <s v="Sydney"/>
    <x v="1"/>
    <x v="3"/>
    <x v="12"/>
    <x v="3"/>
    <x v="125"/>
    <x v="0"/>
    <s v="Small Box"/>
    <x v="0"/>
    <d v="2015-08-11T00:00:00"/>
    <n v="2.76"/>
    <n v="4.38"/>
    <n v="1.62"/>
    <n v="24"/>
    <n v="105.12"/>
    <n v="0.02"/>
    <n v="2.1024000000000003"/>
    <n v="103.0176"/>
    <n v="6.21"/>
    <n v="109.2276"/>
  </r>
  <r>
    <s v="6014-2"/>
    <d v="2015-08-10T00:00:00"/>
    <x v="2"/>
    <x v="418"/>
    <s v="7 Khartoum Rd,Macquarie Park"/>
    <s v="Sydney"/>
    <x v="1"/>
    <x v="3"/>
    <x v="12"/>
    <x v="3"/>
    <x v="107"/>
    <x v="0"/>
    <s v="Small Pack"/>
    <x v="0"/>
    <d v="2015-08-13T00:00:00"/>
    <n v="4.0999999999999996"/>
    <n v="9.31"/>
    <n v="5.2100000000000009"/>
    <n v="30"/>
    <n v="279.3"/>
    <n v="0.03"/>
    <n v="8.3789999999999996"/>
    <n v="270.92099999999999"/>
    <n v="3.98"/>
    <n v="274.90100000000001"/>
  </r>
  <r>
    <s v="6017-1"/>
    <d v="2015-08-11T00:00:00"/>
    <x v="2"/>
    <x v="264"/>
    <s v="Shop 1, 186-190 Church Street,Parramatta;46a Macleay Street,Potts Point"/>
    <s v="Sydney"/>
    <x v="1"/>
    <x v="2"/>
    <x v="11"/>
    <x v="0"/>
    <x v="110"/>
    <x v="1"/>
    <s v="Large Box"/>
    <x v="0"/>
    <d v="2015-08-12T00:00:00"/>
    <n v="377.99"/>
    <n v="599.99"/>
    <n v="222"/>
    <n v="46"/>
    <n v="27599.54"/>
    <n v="7.0000000000000007E-2"/>
    <n v="1931.9678000000004"/>
    <n v="25667.572200000002"/>
    <n v="24.49"/>
    <n v="25692.062200000004"/>
  </r>
  <r>
    <s v="6019-1"/>
    <d v="2015-08-11T00:00:00"/>
    <x v="2"/>
    <x v="331"/>
    <s v="7 Khartoum Rd,Macquarie Park"/>
    <s v="Sydney"/>
    <x v="1"/>
    <x v="3"/>
    <x v="12"/>
    <x v="0"/>
    <x v="100"/>
    <x v="0"/>
    <s v="Wrap Bag"/>
    <x v="0"/>
    <d v="2015-08-14T00:00:00"/>
    <n v="1.76"/>
    <n v="2.94"/>
    <n v="1.18"/>
    <n v="39"/>
    <n v="114.66"/>
    <n v="0.04"/>
    <n v="4.5864000000000003"/>
    <n v="110.0736"/>
    <n v="0.81"/>
    <n v="110.8836"/>
  </r>
  <r>
    <s v="6021-1"/>
    <d v="2015-08-11T00:00:00"/>
    <x v="2"/>
    <x v="419"/>
    <s v="Macquarie Centre Cnr Herring Road &amp; Waterloo Road,Macquarie Park"/>
    <s v="Sydney"/>
    <x v="1"/>
    <x v="2"/>
    <x v="3"/>
    <x v="0"/>
    <x v="25"/>
    <x v="1"/>
    <s v="Small Box"/>
    <x v="1"/>
    <d v="2015-08-12T00:00:00"/>
    <n v="10.07"/>
    <n v="15.98"/>
    <n v="5.91"/>
    <n v="7"/>
    <n v="111.86"/>
    <n v="0.04"/>
    <n v="4.4744000000000002"/>
    <n v="107.3856"/>
    <n v="4"/>
    <n v="111.3856"/>
  </r>
  <r>
    <s v="6023-1"/>
    <d v="2015-08-12T00:00:00"/>
    <x v="2"/>
    <x v="38"/>
    <s v="10 O'Connell St,Sydney"/>
    <s v="Sydney"/>
    <x v="1"/>
    <x v="1"/>
    <x v="9"/>
    <x v="3"/>
    <x v="68"/>
    <x v="1"/>
    <s v="Small Box"/>
    <x v="0"/>
    <d v="2015-08-15T00:00:00"/>
    <n v="6.51"/>
    <n v="30.98"/>
    <n v="24.47"/>
    <n v="8"/>
    <n v="247.84"/>
    <n v="0.06"/>
    <n v="14.8704"/>
    <n v="232.96960000000001"/>
    <n v="6.5"/>
    <n v="239.46960000000001"/>
  </r>
  <r>
    <s v="6025-1"/>
    <d v="2015-08-14T00:00:00"/>
    <x v="2"/>
    <x v="420"/>
    <s v="120 Hardware St,Melbourne"/>
    <s v="Melbourne"/>
    <x v="0"/>
    <x v="1"/>
    <x v="1"/>
    <x v="4"/>
    <x v="35"/>
    <x v="0"/>
    <s v="Wrap Bag"/>
    <x v="0"/>
    <d v="2015-08-16T00:00:00"/>
    <n v="3.75"/>
    <n v="7.08"/>
    <n v="3.33"/>
    <n v="48"/>
    <n v="339.84000000000003"/>
    <n v="0.03"/>
    <n v="10.1952"/>
    <n v="329.64480000000003"/>
    <n v="2.35"/>
    <n v="331.99480000000005"/>
  </r>
  <r>
    <s v="6027-1"/>
    <d v="2015-08-15T00:00:00"/>
    <x v="2"/>
    <x v="66"/>
    <s v="85-113 Dunning Ave,Roseberry"/>
    <s v="Sydney"/>
    <x v="1"/>
    <x v="2"/>
    <x v="11"/>
    <x v="0"/>
    <x v="80"/>
    <x v="0"/>
    <s v="Small Box"/>
    <x v="1"/>
    <d v="2015-08-17T00:00:00"/>
    <n v="3.5"/>
    <n v="5.74"/>
    <n v="2.2400000000000002"/>
    <n v="32"/>
    <n v="183.68"/>
    <n v="0.08"/>
    <n v="14.694400000000002"/>
    <n v="168.98560000000001"/>
    <n v="5.01"/>
    <n v="173.9956"/>
  </r>
  <r>
    <s v="6029-1"/>
    <d v="2015-08-21T00:00:00"/>
    <x v="2"/>
    <x v="416"/>
    <s v="5/250 Old Northern Road,Castle Hill"/>
    <s v="Sydney"/>
    <x v="1"/>
    <x v="0"/>
    <x v="3"/>
    <x v="3"/>
    <x v="83"/>
    <x v="0"/>
    <s v="Small Box"/>
    <x v="0"/>
    <d v="2015-08-23T00:00:00"/>
    <n v="2.1800000000000002"/>
    <n v="3.52"/>
    <n v="1.3399999999999999"/>
    <n v="38"/>
    <n v="133.76"/>
    <n v="0.09"/>
    <n v="12.038399999999999"/>
    <n v="121.7216"/>
    <n v="6.83"/>
    <n v="128.55160000000001"/>
  </r>
  <r>
    <s v="6030-1"/>
    <d v="2015-08-22T00:00:00"/>
    <x v="2"/>
    <x v="406"/>
    <s v="1 John Street,Waterloo"/>
    <s v="Sydney"/>
    <x v="1"/>
    <x v="0"/>
    <x v="10"/>
    <x v="2"/>
    <x v="25"/>
    <x v="1"/>
    <s v="Small Box"/>
    <x v="0"/>
    <d v="2015-08-27T00:00:00"/>
    <n v="10.07"/>
    <n v="15.98"/>
    <n v="5.91"/>
    <n v="6"/>
    <n v="95.88"/>
    <n v="0.1"/>
    <n v="9.5879999999999992"/>
    <n v="86.292000000000002"/>
    <n v="4"/>
    <n v="90.292000000000002"/>
  </r>
  <r>
    <s v="6032-1"/>
    <d v="2015-08-23T00:00:00"/>
    <x v="2"/>
    <x v="421"/>
    <s v="10 Bligh St,Melbourne"/>
    <s v="Melbourne"/>
    <x v="0"/>
    <x v="3"/>
    <x v="0"/>
    <x v="2"/>
    <x v="143"/>
    <x v="0"/>
    <s v="Small Box"/>
    <x v="1"/>
    <d v="2015-08-30T00:00:00"/>
    <n v="3.53"/>
    <n v="8.6199999999999992"/>
    <n v="5.09"/>
    <n v="8"/>
    <n v="68.959999999999994"/>
    <n v="0"/>
    <n v="0"/>
    <n v="68.959999999999994"/>
    <n v="4.5"/>
    <n v="73.459999999999994"/>
  </r>
  <r>
    <s v="6034-1"/>
    <d v="2015-08-24T00:00:00"/>
    <x v="2"/>
    <x v="258"/>
    <s v="412 Brunswick St,Fitzroy"/>
    <s v="Melbourne"/>
    <x v="0"/>
    <x v="3"/>
    <x v="1"/>
    <x v="0"/>
    <x v="123"/>
    <x v="0"/>
    <s v="Small Box"/>
    <x v="1"/>
    <d v="2015-08-25T00:00:00"/>
    <n v="84.22"/>
    <n v="210.55"/>
    <n v="126.33000000000001"/>
    <n v="2"/>
    <n v="421.1"/>
    <n v="0.05"/>
    <n v="21.055000000000003"/>
    <n v="400.04500000000002"/>
    <n v="9.99"/>
    <n v="410.03500000000003"/>
  </r>
  <r>
    <s v="6036-1"/>
    <d v="2015-08-24T00:00:00"/>
    <x v="2"/>
    <x v="422"/>
    <s v="79 Elliott St,Balmain"/>
    <s v="Sydney"/>
    <x v="1"/>
    <x v="1"/>
    <x v="9"/>
    <x v="2"/>
    <x v="126"/>
    <x v="0"/>
    <s v="Wrap Bag"/>
    <x v="0"/>
    <d v="2015-08-28T00:00:00"/>
    <n v="1.0900000000000001"/>
    <n v="1.82"/>
    <n v="0.73"/>
    <n v="42"/>
    <n v="76.44"/>
    <n v="0.08"/>
    <n v="6.1151999999999997"/>
    <n v="70.324799999999996"/>
    <n v="1"/>
    <n v="71.324799999999996"/>
  </r>
  <r>
    <s v="6037-1"/>
    <d v="2015-08-24T00:00:00"/>
    <x v="2"/>
    <x v="145"/>
    <s v="1/173-179 Bronte Rd,Waverley"/>
    <s v="Sydney"/>
    <x v="1"/>
    <x v="3"/>
    <x v="2"/>
    <x v="1"/>
    <x v="96"/>
    <x v="0"/>
    <s v="Small Pack"/>
    <x v="0"/>
    <d v="2015-08-26T00:00:00"/>
    <n v="16.8"/>
    <n v="40.97"/>
    <n v="24.169999999999998"/>
    <n v="28"/>
    <n v="1147.1599999999999"/>
    <n v="0.04"/>
    <n v="45.886399999999995"/>
    <n v="1101.2735999999998"/>
    <n v="8.99"/>
    <n v="1110.2635999999998"/>
  </r>
  <r>
    <s v="6038-1"/>
    <d v="2015-08-26T00:00:00"/>
    <x v="2"/>
    <x v="28"/>
    <s v="499-501 Lygon Street,Carlton North"/>
    <s v="Melbourne"/>
    <x v="0"/>
    <x v="1"/>
    <x v="0"/>
    <x v="4"/>
    <x v="117"/>
    <x v="0"/>
    <s v="Small Box"/>
    <x v="0"/>
    <d v="2015-08-28T00:00:00"/>
    <n v="52.04"/>
    <n v="83.93"/>
    <n v="31.890000000000008"/>
    <n v="3"/>
    <n v="251.79000000000002"/>
    <n v="0"/>
    <n v="0"/>
    <n v="251.79000000000002"/>
    <n v="19.989999999999998"/>
    <n v="271.78000000000003"/>
  </r>
  <r>
    <s v="6039-1"/>
    <d v="2015-08-26T00:00:00"/>
    <x v="2"/>
    <x v="20"/>
    <s v="501 George St,Sydney"/>
    <s v="Sydney"/>
    <x v="1"/>
    <x v="1"/>
    <x v="6"/>
    <x v="3"/>
    <x v="97"/>
    <x v="0"/>
    <s v="Small Box"/>
    <x v="0"/>
    <d v="2015-08-27T00:00:00"/>
    <n v="2.29"/>
    <n v="3.69"/>
    <n v="1.4"/>
    <n v="39"/>
    <n v="143.91"/>
    <n v="0.03"/>
    <n v="4.3172999999999995"/>
    <n v="139.59270000000001"/>
    <n v="0.5"/>
    <n v="140.09270000000001"/>
  </r>
  <r>
    <s v="6042-1"/>
    <d v="2015-08-28T00:00:00"/>
    <x v="2"/>
    <x v="160"/>
    <s v="Macquarie Centre Cnr Herring Road &amp; Waterloo Road,Macquarie Park"/>
    <s v="Sydney"/>
    <x v="1"/>
    <x v="3"/>
    <x v="3"/>
    <x v="1"/>
    <x v="73"/>
    <x v="0"/>
    <s v="Small Box"/>
    <x v="0"/>
    <d v="2015-08-30T00:00:00"/>
    <n v="1.94"/>
    <n v="3.08"/>
    <n v="1.1400000000000001"/>
    <n v="6"/>
    <n v="18.48"/>
    <n v="0.02"/>
    <n v="0.36960000000000004"/>
    <n v="18.110400000000002"/>
    <n v="0.99"/>
    <n v="19.1004"/>
  </r>
  <r>
    <s v="6044-1"/>
    <d v="2015-08-30T00:00:00"/>
    <x v="2"/>
    <x v="423"/>
    <s v="3 Orwell St,Potts Point"/>
    <s v="Sydney"/>
    <x v="1"/>
    <x v="1"/>
    <x v="2"/>
    <x v="4"/>
    <x v="92"/>
    <x v="1"/>
    <s v="Small Box"/>
    <x v="0"/>
    <d v="2015-09-01T00:00:00"/>
    <n v="41.28"/>
    <n v="95.99"/>
    <n v="54.709999999999994"/>
    <n v="26"/>
    <n v="2495.7399999999998"/>
    <n v="0.02"/>
    <n v="49.9148"/>
    <n v="2445.8251999999998"/>
    <n v="8.99"/>
    <n v="2454.8151999999995"/>
  </r>
  <r>
    <s v="6046-1"/>
    <d v="2015-08-31T00:00:00"/>
    <x v="2"/>
    <x v="424"/>
    <s v="32/82 King Street"/>
    <s v="Perth"/>
    <x v="2"/>
    <x v="2"/>
    <x v="11"/>
    <x v="2"/>
    <x v="54"/>
    <x v="0"/>
    <s v="Small Box"/>
    <x v="0"/>
    <d v="2015-08-31T00:00:00"/>
    <n v="3.4"/>
    <n v="5.4"/>
    <n v="2.0000000000000004"/>
    <n v="14"/>
    <n v="75.600000000000009"/>
    <n v="0.02"/>
    <n v="1.5120000000000002"/>
    <n v="74.088000000000008"/>
    <n v="7.78"/>
    <n v="81.868000000000009"/>
  </r>
  <r>
    <s v="6048-1"/>
    <d v="2015-08-31T00:00:00"/>
    <x v="2"/>
    <x v="425"/>
    <s v="541 Church St,Richmond"/>
    <s v="Melbourne"/>
    <x v="0"/>
    <x v="0"/>
    <x v="0"/>
    <x v="1"/>
    <x v="71"/>
    <x v="0"/>
    <s v="Small Box"/>
    <x v="0"/>
    <d v="2015-09-01T00:00:00"/>
    <n v="4.46"/>
    <n v="10.89"/>
    <n v="6.4300000000000006"/>
    <n v="50"/>
    <n v="544.5"/>
    <n v="0.09"/>
    <n v="49.004999999999995"/>
    <n v="495.495"/>
    <n v="4.5"/>
    <n v="499.995"/>
  </r>
  <r>
    <s v="6050-1"/>
    <d v="2015-09-02T00:00:00"/>
    <x v="2"/>
    <x v="296"/>
    <s v="Hoyts Entertainment Quarter 122 Lang Road,Moore Park"/>
    <s v="Sydney"/>
    <x v="1"/>
    <x v="0"/>
    <x v="8"/>
    <x v="4"/>
    <x v="46"/>
    <x v="1"/>
    <s v="Small Box"/>
    <x v="0"/>
    <d v="2015-09-05T00:00:00"/>
    <n v="60.59"/>
    <n v="100.98"/>
    <n v="40.39"/>
    <n v="9"/>
    <n v="908.82"/>
    <n v="0.1"/>
    <n v="90.882000000000005"/>
    <n v="817.9380000000001"/>
    <n v="7.18"/>
    <n v="825.11800000000005"/>
  </r>
  <r>
    <s v="6052-1"/>
    <d v="2015-09-02T00:00:00"/>
    <x v="2"/>
    <x v="141"/>
    <s v="1/173-179 Bronte Rd,Waverley"/>
    <s v="Sydney"/>
    <x v="1"/>
    <x v="1"/>
    <x v="2"/>
    <x v="4"/>
    <x v="41"/>
    <x v="1"/>
    <s v="Small Box"/>
    <x v="0"/>
    <d v="2015-09-04T00:00:00"/>
    <n v="156.5"/>
    <n v="300.97000000000003"/>
    <n v="144.47000000000003"/>
    <n v="20"/>
    <n v="6019.4000000000005"/>
    <n v="0.05"/>
    <n v="300.97000000000003"/>
    <n v="5718.43"/>
    <n v="7.18"/>
    <n v="5725.6100000000006"/>
  </r>
  <r>
    <s v="6054-1"/>
    <d v="2015-09-03T00:00:00"/>
    <x v="2"/>
    <x v="121"/>
    <s v="98 Holdsworth Street,Woollahra"/>
    <s v="Sydney"/>
    <x v="1"/>
    <x v="1"/>
    <x v="5"/>
    <x v="2"/>
    <x v="71"/>
    <x v="0"/>
    <s v="Small Box"/>
    <x v="0"/>
    <d v="2015-09-07T00:00:00"/>
    <n v="4.46"/>
    <n v="10.89"/>
    <n v="6.4300000000000006"/>
    <n v="3"/>
    <n v="32.67"/>
    <n v="0.08"/>
    <n v="2.6136000000000004"/>
    <n v="30.0564"/>
    <n v="4.5"/>
    <n v="34.556399999999996"/>
  </r>
  <r>
    <s v="6056-1"/>
    <d v="2015-09-04T00:00:00"/>
    <x v="2"/>
    <x v="426"/>
    <s v="180 High Street,Windsor"/>
    <s v="Melbourne"/>
    <x v="0"/>
    <x v="2"/>
    <x v="1"/>
    <x v="4"/>
    <x v="3"/>
    <x v="1"/>
    <s v="Jumbo Drum"/>
    <x v="2"/>
    <d v="2015-09-06T00:00:00"/>
    <n v="75"/>
    <n v="120.97"/>
    <n v="45.97"/>
    <n v="46"/>
    <n v="5564.62"/>
    <n v="7.0000000000000007E-2"/>
    <n v="389.52340000000004"/>
    <n v="5175.0965999999999"/>
    <n v="26.3"/>
    <n v="5201.3966"/>
  </r>
  <r>
    <s v="6057-1"/>
    <d v="2015-09-06T00:00:00"/>
    <x v="2"/>
    <x v="74"/>
    <s v="6 Brookman Street"/>
    <s v="Perth"/>
    <x v="2"/>
    <x v="1"/>
    <x v="5"/>
    <x v="1"/>
    <x v="46"/>
    <x v="1"/>
    <s v="Small Box"/>
    <x v="0"/>
    <d v="2015-09-07T00:00:00"/>
    <n v="60.59"/>
    <n v="100.98"/>
    <n v="40.39"/>
    <n v="44"/>
    <n v="4443.12"/>
    <n v="0.09"/>
    <n v="399.88079999999997"/>
    <n v="4043.2392"/>
    <n v="7.18"/>
    <n v="4050.4191999999998"/>
  </r>
  <r>
    <s v="6058-1"/>
    <d v="2015-09-07T00:00:00"/>
    <x v="2"/>
    <x v="427"/>
    <s v="106 Ebley Street,Bondi Junction"/>
    <s v="Sydney"/>
    <x v="1"/>
    <x v="3"/>
    <x v="2"/>
    <x v="0"/>
    <x v="26"/>
    <x v="0"/>
    <s v="Small Pack"/>
    <x v="0"/>
    <d v="2015-09-09T00:00:00"/>
    <n v="4.79"/>
    <n v="11.97"/>
    <n v="7.1800000000000006"/>
    <n v="48"/>
    <n v="574.56000000000006"/>
    <n v="0.02"/>
    <n v="11.491200000000001"/>
    <n v="563.06880000000001"/>
    <n v="5.81"/>
    <n v="568.87879999999996"/>
  </r>
  <r>
    <s v="6059-1"/>
    <d v="2015-09-08T00:00:00"/>
    <x v="2"/>
    <x v="64"/>
    <s v="101 Murray Street, Perth"/>
    <s v="Sydney"/>
    <x v="1"/>
    <x v="1"/>
    <x v="11"/>
    <x v="0"/>
    <x v="87"/>
    <x v="0"/>
    <s v="Wrap Bag"/>
    <x v="0"/>
    <d v="2015-09-10T00:00:00"/>
    <n v="3.32"/>
    <n v="5.18"/>
    <n v="1.8599999999999999"/>
    <n v="20"/>
    <n v="103.6"/>
    <n v="0.06"/>
    <n v="6.2159999999999993"/>
    <n v="97.384"/>
    <n v="2.04"/>
    <n v="99.424000000000007"/>
  </r>
  <r>
    <s v="6061-1"/>
    <d v="2015-09-08T00:00:00"/>
    <x v="2"/>
    <x v="24"/>
    <s v="240-242 Johnston Street,Fitzroy"/>
    <s v="Melbourne"/>
    <x v="0"/>
    <x v="3"/>
    <x v="1"/>
    <x v="0"/>
    <x v="65"/>
    <x v="0"/>
    <s v="Wrap Bag"/>
    <x v="0"/>
    <d v="2015-09-10T00:00:00"/>
    <n v="0.24"/>
    <n v="1.26"/>
    <n v="1.02"/>
    <n v="31"/>
    <n v="39.06"/>
    <n v="0.06"/>
    <n v="2.3435999999999999"/>
    <n v="36.7164"/>
    <n v="0.7"/>
    <n v="37.416400000000003"/>
  </r>
  <r>
    <s v="6063-1"/>
    <d v="2015-09-10T00:00:00"/>
    <x v="2"/>
    <x v="255"/>
    <s v="88 Oxford St,Woollahra"/>
    <s v="Sydney"/>
    <x v="1"/>
    <x v="1"/>
    <x v="10"/>
    <x v="1"/>
    <x v="43"/>
    <x v="0"/>
    <s v="Small Box"/>
    <x v="1"/>
    <d v="2015-09-11T00:00:00"/>
    <n v="2.25"/>
    <n v="3.69"/>
    <n v="1.44"/>
    <n v="23"/>
    <n v="84.87"/>
    <n v="0.02"/>
    <n v="1.6974"/>
    <n v="83.172600000000003"/>
    <n v="2.5"/>
    <n v="85.672600000000003"/>
  </r>
  <r>
    <s v="6065-1"/>
    <d v="2015-09-11T00:00:00"/>
    <x v="2"/>
    <x v="428"/>
    <s v="Westfield 1 Anderson St,Chatswood"/>
    <s v="Sydney"/>
    <x v="1"/>
    <x v="2"/>
    <x v="3"/>
    <x v="3"/>
    <x v="100"/>
    <x v="0"/>
    <s v="Wrap Bag"/>
    <x v="1"/>
    <d v="2015-09-11T00:00:00"/>
    <n v="1.76"/>
    <n v="2.94"/>
    <n v="1.18"/>
    <n v="47"/>
    <n v="138.18"/>
    <n v="0.04"/>
    <n v="5.5272000000000006"/>
    <n v="132.65280000000001"/>
    <n v="0.81"/>
    <n v="133.46280000000002"/>
  </r>
  <r>
    <s v="6066-1"/>
    <d v="2015-09-12T00:00:00"/>
    <x v="2"/>
    <x v="210"/>
    <s v="37/59 Brewer Street, Perth"/>
    <s v="Melbourne"/>
    <x v="0"/>
    <x v="3"/>
    <x v="1"/>
    <x v="3"/>
    <x v="124"/>
    <x v="0"/>
    <s v="Wrap Bag"/>
    <x v="0"/>
    <d v="2015-09-13T00:00:00"/>
    <n v="0.87"/>
    <n v="1.81"/>
    <n v="0.94000000000000006"/>
    <n v="6"/>
    <n v="10.86"/>
    <n v="7.0000000000000007E-2"/>
    <n v="0.76019999999999999"/>
    <n v="10.0998"/>
    <n v="0.75"/>
    <n v="10.8498"/>
  </r>
  <r>
    <s v="6067-1"/>
    <d v="2015-09-15T00:00:00"/>
    <x v="2"/>
    <x v="429"/>
    <s v="Westfield Sydney,Sydney"/>
    <s v="Sydney"/>
    <x v="1"/>
    <x v="1"/>
    <x v="5"/>
    <x v="1"/>
    <x v="81"/>
    <x v="0"/>
    <s v="Wrap Bag"/>
    <x v="0"/>
    <d v="2015-09-17T00:00:00"/>
    <n v="0.93"/>
    <n v="1.48"/>
    <n v="0.54999999999999993"/>
    <n v="1"/>
    <n v="1.48"/>
    <n v="0.01"/>
    <n v="1.4800000000000001E-2"/>
    <n v="1.4652000000000001"/>
    <n v="0.7"/>
    <n v="2.1652"/>
  </r>
  <r>
    <s v="6068-1"/>
    <d v="2015-09-16T00:00:00"/>
    <x v="2"/>
    <x v="80"/>
    <s v="Hoyts Entertainment Quarter 122 Lang Road,Moore Park"/>
    <s v="Sydney"/>
    <x v="1"/>
    <x v="1"/>
    <x v="8"/>
    <x v="2"/>
    <x v="101"/>
    <x v="0"/>
    <s v="Small Pack"/>
    <x v="1"/>
    <d v="2015-09-21T00:00:00"/>
    <n v="3.51"/>
    <n v="8.57"/>
    <n v="5.0600000000000005"/>
    <n v="49"/>
    <n v="419.93"/>
    <n v="0.01"/>
    <n v="4.1993"/>
    <n v="415.73070000000001"/>
    <n v="6.14"/>
    <n v="421.8707"/>
  </r>
  <r>
    <s v="6070-1"/>
    <d v="2015-09-17T00:00:00"/>
    <x v="2"/>
    <x v="427"/>
    <s v="106 Ebley Street,Bondi Junction"/>
    <s v="Sydney"/>
    <x v="1"/>
    <x v="3"/>
    <x v="2"/>
    <x v="3"/>
    <x v="16"/>
    <x v="0"/>
    <s v="Wrap Bag"/>
    <x v="0"/>
    <d v="2015-09-17T00:00:00"/>
    <n v="1.82"/>
    <n v="2.98"/>
    <n v="1.1599999999999999"/>
    <n v="3"/>
    <n v="8.94"/>
    <n v="0.04"/>
    <n v="0.35759999999999997"/>
    <n v="8.5823999999999998"/>
    <n v="1.58"/>
    <n v="10.1624"/>
  </r>
  <r>
    <s v="6071-1"/>
    <d v="2015-09-25T00:00:00"/>
    <x v="2"/>
    <x v="79"/>
    <s v="8 Rankins Lane ,Melbourne"/>
    <s v="Melbourne"/>
    <x v="0"/>
    <x v="0"/>
    <x v="1"/>
    <x v="3"/>
    <x v="37"/>
    <x v="0"/>
    <s v="Small Box"/>
    <x v="0"/>
    <d v="2015-09-26T00:00:00"/>
    <n v="13.64"/>
    <n v="20.98"/>
    <n v="7.34"/>
    <n v="10"/>
    <n v="209.8"/>
    <n v="0.06"/>
    <n v="12.588000000000001"/>
    <n v="197.21200000000002"/>
    <n v="1.49"/>
    <n v="198.70200000000003"/>
  </r>
  <r>
    <s v="6072-1"/>
    <d v="2015-09-25T00:00:00"/>
    <x v="2"/>
    <x v="430"/>
    <s v="506 Swan Street,Richmond"/>
    <s v="Melbourne"/>
    <x v="0"/>
    <x v="1"/>
    <x v="1"/>
    <x v="1"/>
    <x v="83"/>
    <x v="0"/>
    <s v="Small Box"/>
    <x v="0"/>
    <d v="2015-09-27T00:00:00"/>
    <n v="2.1800000000000002"/>
    <n v="3.52"/>
    <n v="1.3399999999999999"/>
    <n v="13"/>
    <n v="45.76"/>
    <n v="0.08"/>
    <n v="3.6608000000000001"/>
    <n v="42.099199999999996"/>
    <n v="6.83"/>
    <n v="48.929199999999994"/>
  </r>
  <r>
    <s v="6074-1"/>
    <d v="2015-09-26T00:00:00"/>
    <x v="2"/>
    <x v="204"/>
    <s v="53-55 Liverpool St,Sydney"/>
    <s v="Sydney"/>
    <x v="1"/>
    <x v="1"/>
    <x v="8"/>
    <x v="0"/>
    <x v="54"/>
    <x v="0"/>
    <s v="Small Box"/>
    <x v="0"/>
    <d v="2015-09-28T00:00:00"/>
    <n v="3.4"/>
    <n v="5.4"/>
    <n v="2.0000000000000004"/>
    <n v="10"/>
    <n v="54"/>
    <n v="0.04"/>
    <n v="2.16"/>
    <n v="51.84"/>
    <n v="7.78"/>
    <n v="59.620000000000005"/>
  </r>
  <r>
    <s v="6076-1"/>
    <d v="2015-09-27T00:00:00"/>
    <x v="2"/>
    <x v="431"/>
    <s v="10 Lake Street, Perth"/>
    <s v="Sydney"/>
    <x v="1"/>
    <x v="3"/>
    <x v="8"/>
    <x v="3"/>
    <x v="44"/>
    <x v="0"/>
    <s v="Small Box"/>
    <x v="0"/>
    <d v="2015-09-29T00:00:00"/>
    <n v="12.39"/>
    <n v="19.98"/>
    <n v="7.59"/>
    <n v="20"/>
    <n v="399.6"/>
    <n v="0.05"/>
    <n v="19.980000000000004"/>
    <n v="379.62"/>
    <n v="5.77"/>
    <n v="385.39"/>
  </r>
  <r>
    <s v="6077-1"/>
    <d v="2015-09-27T00:00:00"/>
    <x v="2"/>
    <x v="368"/>
    <s v="120 Hardware St,Melbourne"/>
    <s v="Melbourne"/>
    <x v="0"/>
    <x v="1"/>
    <x v="0"/>
    <x v="2"/>
    <x v="44"/>
    <x v="0"/>
    <s v="Small Box"/>
    <x v="0"/>
    <d v="2015-09-27T00:00:00"/>
    <n v="12.39"/>
    <n v="19.98"/>
    <n v="7.59"/>
    <n v="34"/>
    <n v="679.32"/>
    <n v="0.06"/>
    <n v="40.7592"/>
    <n v="638.56080000000009"/>
    <n v="5.77"/>
    <n v="644.33080000000007"/>
  </r>
  <r>
    <s v="6079-1"/>
    <d v="2015-09-28T00:00:00"/>
    <x v="2"/>
    <x v="432"/>
    <s v="188 Pitt Street,Sydney"/>
    <s v="Sydney"/>
    <x v="1"/>
    <x v="0"/>
    <x v="8"/>
    <x v="3"/>
    <x v="35"/>
    <x v="0"/>
    <s v="Wrap Bag"/>
    <x v="0"/>
    <d v="2015-09-30T00:00:00"/>
    <n v="3.75"/>
    <n v="7.08"/>
    <n v="3.33"/>
    <n v="37"/>
    <n v="261.95999999999998"/>
    <n v="0.08"/>
    <n v="20.956799999999998"/>
    <n v="241.00319999999999"/>
    <n v="2.35"/>
    <n v="243.35319999999999"/>
  </r>
  <r>
    <s v="6081-1"/>
    <d v="2015-09-29T00:00:00"/>
    <x v="2"/>
    <x v="332"/>
    <s v="8 Rankins Lane ,Melbourne"/>
    <s v="Melbourne"/>
    <x v="0"/>
    <x v="3"/>
    <x v="1"/>
    <x v="4"/>
    <x v="80"/>
    <x v="0"/>
    <s v="Small Box"/>
    <x v="1"/>
    <d v="2015-09-30T00:00:00"/>
    <n v="3.5"/>
    <n v="5.74"/>
    <n v="2.2400000000000002"/>
    <n v="26"/>
    <n v="149.24"/>
    <n v="0.03"/>
    <n v="4.4771999999999998"/>
    <n v="144.7628"/>
    <n v="5.01"/>
    <n v="149.77279999999999"/>
  </r>
  <r>
    <s v="6083-1"/>
    <d v="2015-10-01T00:00:00"/>
    <x v="2"/>
    <x v="433"/>
    <s v="Macquarie Centre Cnr Herring Road &amp; Waterloo Road,Macquarie Park"/>
    <s v="Sydney"/>
    <x v="1"/>
    <x v="1"/>
    <x v="3"/>
    <x v="2"/>
    <x v="121"/>
    <x v="0"/>
    <s v="Wrap Bag"/>
    <x v="0"/>
    <d v="2015-10-10T00:00:00"/>
    <n v="1.05"/>
    <n v="1.95"/>
    <n v="0.89999999999999991"/>
    <n v="4"/>
    <n v="7.8"/>
    <n v="0.09"/>
    <n v="0.70199999999999996"/>
    <n v="7.0979999999999999"/>
    <n v="1.63"/>
    <n v="8.7279999999999998"/>
  </r>
  <r>
    <s v="6085-1"/>
    <d v="2015-10-09T00:00:00"/>
    <x v="2"/>
    <x v="434"/>
    <s v="Hoyts Entertainment Quarter 122 Lang Road,Moore Park"/>
    <s v="Sydney"/>
    <x v="1"/>
    <x v="2"/>
    <x v="8"/>
    <x v="0"/>
    <x v="122"/>
    <x v="1"/>
    <s v="Jumbo Drum"/>
    <x v="2"/>
    <d v="2015-10-11T00:00:00"/>
    <n v="315.61"/>
    <n v="500.97"/>
    <n v="185.36"/>
    <n v="25"/>
    <n v="12524.25"/>
    <n v="0.02"/>
    <n v="250.48500000000001"/>
    <n v="12273.764999999999"/>
    <n v="69.3"/>
    <n v="12343.064999999999"/>
  </r>
  <r>
    <s v="6086-1"/>
    <d v="2015-10-12T00:00:00"/>
    <x v="2"/>
    <x v="435"/>
    <s v="8/2 Edward Street, Perth"/>
    <s v="Sydney"/>
    <x v="1"/>
    <x v="1"/>
    <x v="11"/>
    <x v="0"/>
    <x v="38"/>
    <x v="0"/>
    <s v="Small Box"/>
    <x v="0"/>
    <d v="2015-10-14T00:00:00"/>
    <n v="1.18"/>
    <n v="1.88"/>
    <n v="0.7"/>
    <n v="29"/>
    <n v="54.519999999999996"/>
    <n v="0.1"/>
    <n v="5.452"/>
    <n v="49.067999999999998"/>
    <n v="1.49"/>
    <n v="50.558"/>
  </r>
  <r>
    <s v="6088-1"/>
    <d v="2015-10-13T00:00:00"/>
    <x v="2"/>
    <x v="241"/>
    <s v="8 Khartoum Rd,Macquarie Park"/>
    <s v="Sydney"/>
    <x v="1"/>
    <x v="3"/>
    <x v="13"/>
    <x v="2"/>
    <x v="67"/>
    <x v="1"/>
    <s v="Jumbo Drum"/>
    <x v="2"/>
    <d v="2015-10-15T00:00:00"/>
    <n v="278.99"/>
    <n v="449.99"/>
    <n v="171"/>
    <n v="47"/>
    <n v="21149.53"/>
    <n v="0.02"/>
    <n v="422.99059999999997"/>
    <n v="20726.539399999998"/>
    <n v="49"/>
    <n v="20775.539399999998"/>
  </r>
  <r>
    <s v="6090-1"/>
    <d v="2015-10-15T00:00:00"/>
    <x v="2"/>
    <x v="436"/>
    <s v="3/265 Stirling Street, Perth"/>
    <s v="Melbourne"/>
    <x v="0"/>
    <x v="3"/>
    <x v="1"/>
    <x v="1"/>
    <x v="54"/>
    <x v="0"/>
    <s v="Small Box"/>
    <x v="0"/>
    <d v="2015-10-16T00:00:00"/>
    <n v="3.4"/>
    <n v="5.4"/>
    <n v="2.0000000000000004"/>
    <n v="8"/>
    <n v="43.2"/>
    <n v="0"/>
    <n v="0"/>
    <n v="43.2"/>
    <n v="7.78"/>
    <n v="50.980000000000004"/>
  </r>
  <r>
    <s v="6094-1"/>
    <d v="2015-10-20T00:00:00"/>
    <x v="2"/>
    <x v="437"/>
    <s v="Westfield 1 Anderson St,Chatswood"/>
    <s v="Sydney"/>
    <x v="1"/>
    <x v="0"/>
    <x v="3"/>
    <x v="2"/>
    <x v="136"/>
    <x v="0"/>
    <s v="Small Box"/>
    <x v="0"/>
    <d v="2015-10-24T00:00:00"/>
    <n v="1.19"/>
    <n v="1.98"/>
    <n v="0.79"/>
    <n v="4"/>
    <n v="7.92"/>
    <n v="0.08"/>
    <n v="0.63360000000000005"/>
    <n v="7.2863999999999995"/>
    <n v="4.7699999999999996"/>
    <n v="12.0564"/>
  </r>
  <r>
    <s v="6095-1"/>
    <d v="2015-10-21T00:00:00"/>
    <x v="2"/>
    <x v="52"/>
    <s v="310 Wattle St,Ultimo"/>
    <s v="Sydney"/>
    <x v="1"/>
    <x v="0"/>
    <x v="9"/>
    <x v="4"/>
    <x v="120"/>
    <x v="0"/>
    <s v="Wrap Bag"/>
    <x v="1"/>
    <d v="2015-10-23T00:00:00"/>
    <n v="2.13"/>
    <n v="3.49"/>
    <n v="1.3600000000000003"/>
    <n v="3"/>
    <n v="10.47"/>
    <n v="0.01"/>
    <n v="0.10470000000000002"/>
    <n v="10.365300000000001"/>
    <n v="0.76"/>
    <n v="11.125300000000001"/>
  </r>
  <r>
    <s v="6096-1"/>
    <d v="2015-10-21T00:00:00"/>
    <x v="2"/>
    <x v="438"/>
    <s v="6/15 Cross Street,Double Bay"/>
    <s v="Sydney"/>
    <x v="1"/>
    <x v="1"/>
    <x v="2"/>
    <x v="0"/>
    <x v="38"/>
    <x v="0"/>
    <s v="Small Box"/>
    <x v="0"/>
    <d v="2015-10-23T00:00:00"/>
    <n v="1.18"/>
    <n v="1.88"/>
    <n v="0.7"/>
    <n v="6"/>
    <n v="11.28"/>
    <n v="7.0000000000000007E-2"/>
    <n v="0.78960000000000008"/>
    <n v="10.490399999999999"/>
    <n v="1.49"/>
    <n v="11.980399999999999"/>
  </r>
  <r>
    <s v="6098-1"/>
    <d v="2015-10-24T00:00:00"/>
    <x v="2"/>
    <x v="412"/>
    <s v="101 Murray Street, Perth"/>
    <s v="Melbourne"/>
    <x v="0"/>
    <x v="2"/>
    <x v="0"/>
    <x v="1"/>
    <x v="94"/>
    <x v="0"/>
    <s v="Small Box"/>
    <x v="0"/>
    <d v="2015-10-26T00:00:00"/>
    <n v="4.53"/>
    <n v="7.3"/>
    <n v="2.7699999999999996"/>
    <n v="34"/>
    <n v="248.2"/>
    <n v="0.03"/>
    <n v="7.4459999999999997"/>
    <n v="240.75399999999999"/>
    <n v="7.72"/>
    <n v="248.47399999999999"/>
  </r>
  <r>
    <s v="6099-1"/>
    <d v="2015-10-24T00:00:00"/>
    <x v="2"/>
    <x v="439"/>
    <s v="438 Victoria Avenue,Chatswood"/>
    <s v="Sydney"/>
    <x v="1"/>
    <x v="3"/>
    <x v="5"/>
    <x v="0"/>
    <x v="43"/>
    <x v="0"/>
    <s v="Small Box"/>
    <x v="0"/>
    <d v="2015-10-26T00:00:00"/>
    <n v="2.25"/>
    <n v="3.69"/>
    <n v="1.44"/>
    <n v="47"/>
    <n v="173.43"/>
    <n v="0"/>
    <n v="0"/>
    <n v="173.43"/>
    <n v="2.5"/>
    <n v="175.93"/>
  </r>
  <r>
    <s v="6100-1"/>
    <d v="2015-10-28T00:00:00"/>
    <x v="2"/>
    <x v="31"/>
    <s v="3 Carrington Road ,Box Hill"/>
    <s v="Melbourne"/>
    <x v="0"/>
    <x v="1"/>
    <x v="0"/>
    <x v="3"/>
    <x v="57"/>
    <x v="1"/>
    <s v="Medium Box"/>
    <x v="0"/>
    <d v="2015-10-30T00:00:00"/>
    <n v="7.92"/>
    <n v="12.99"/>
    <n v="5.07"/>
    <n v="46"/>
    <n v="597.54"/>
    <n v="0.01"/>
    <n v="5.9753999999999996"/>
    <n v="591.56459999999993"/>
    <n v="9.44"/>
    <n v="601.00459999999998"/>
  </r>
  <r>
    <s v="6102-1"/>
    <d v="2015-10-31T00:00:00"/>
    <x v="2"/>
    <x v="440"/>
    <s v="Shop 1, 186-190 Church Street,Parramatta;46a Macleay Street,Potts Point"/>
    <s v="Sydney"/>
    <x v="1"/>
    <x v="0"/>
    <x v="11"/>
    <x v="0"/>
    <x v="50"/>
    <x v="0"/>
    <s v="Small Box"/>
    <x v="0"/>
    <d v="2015-10-31T00:00:00"/>
    <n v="178.83"/>
    <n v="415.88"/>
    <n v="237.04999999999998"/>
    <n v="21"/>
    <n v="8733.48"/>
    <n v="0.09"/>
    <n v="786.01319999999998"/>
    <n v="7947.4667999999992"/>
    <n v="11.37"/>
    <n v="7958.8367999999991"/>
  </r>
  <r>
    <s v="6103-1"/>
    <d v="2015-10-31T00:00:00"/>
    <x v="2"/>
    <x v="441"/>
    <s v="184 King Street,Newtown"/>
    <s v="Sydney"/>
    <x v="1"/>
    <x v="1"/>
    <x v="10"/>
    <x v="0"/>
    <x v="41"/>
    <x v="1"/>
    <s v="Small Box"/>
    <x v="0"/>
    <d v="2015-11-01T00:00:00"/>
    <n v="156.5"/>
    <n v="300.97000000000003"/>
    <n v="144.47000000000003"/>
    <n v="23"/>
    <n v="6922.31"/>
    <n v="0.06"/>
    <n v="415.33859999999999"/>
    <n v="6506.9714000000004"/>
    <n v="7.18"/>
    <n v="6514.1514000000006"/>
  </r>
  <r>
    <s v="6104-1"/>
    <d v="2015-11-01T00:00:00"/>
    <x v="2"/>
    <x v="435"/>
    <s v="8/2 Edward Street, Perth"/>
    <s v="Sydney"/>
    <x v="1"/>
    <x v="3"/>
    <x v="11"/>
    <x v="2"/>
    <x v="1"/>
    <x v="0"/>
    <s v="Wrap Bag"/>
    <x v="0"/>
    <d v="2015-11-03T00:00:00"/>
    <n v="2.39"/>
    <n v="4.26"/>
    <n v="1.8699999999999997"/>
    <n v="47"/>
    <n v="200.22"/>
    <n v="7.0000000000000007E-2"/>
    <n v="14.015400000000001"/>
    <n v="186.2046"/>
    <n v="1.2"/>
    <n v="187.40459999999999"/>
  </r>
  <r>
    <s v="6104-2"/>
    <d v="2015-11-01T00:00:00"/>
    <x v="2"/>
    <x v="435"/>
    <s v="8/2 Edward Street, Perth"/>
    <s v="Sydney"/>
    <x v="1"/>
    <x v="3"/>
    <x v="11"/>
    <x v="2"/>
    <x v="15"/>
    <x v="0"/>
    <s v="Wrap Bag"/>
    <x v="0"/>
    <d v="2015-11-06T00:00:00"/>
    <n v="1.3"/>
    <n v="2.88"/>
    <n v="1.5799999999999998"/>
    <n v="17"/>
    <n v="48.96"/>
    <n v="0.09"/>
    <n v="4.4063999999999997"/>
    <n v="44.553600000000003"/>
    <n v="1.01"/>
    <n v="45.563600000000001"/>
  </r>
  <r>
    <s v="6108-1"/>
    <d v="2015-11-06T00:00:00"/>
    <x v="2"/>
    <x v="442"/>
    <s v="99 Lygon Street,East Brunswick"/>
    <s v="Melbourne"/>
    <x v="0"/>
    <x v="1"/>
    <x v="1"/>
    <x v="0"/>
    <x v="130"/>
    <x v="1"/>
    <s v="Small Box"/>
    <x v="1"/>
    <d v="2015-11-06T00:00:00"/>
    <n v="14.7"/>
    <n v="29.99"/>
    <n v="15.29"/>
    <n v="20"/>
    <n v="599.79999999999995"/>
    <n v="0.04"/>
    <n v="23.991999999999997"/>
    <n v="575.80799999999999"/>
    <n v="5.5"/>
    <n v="581.30799999999999"/>
  </r>
  <r>
    <s v="6109-1"/>
    <d v="2015-11-06T00:00:00"/>
    <x v="2"/>
    <x v="77"/>
    <s v="85-113 Dunning Ave,Rosebery"/>
    <s v="Sydney"/>
    <x v="1"/>
    <x v="3"/>
    <x v="11"/>
    <x v="2"/>
    <x v="8"/>
    <x v="0"/>
    <s v="Small Box"/>
    <x v="0"/>
    <d v="2015-11-13T00:00:00"/>
    <n v="54.29"/>
    <n v="90.48"/>
    <n v="36.190000000000005"/>
    <n v="49"/>
    <n v="4433.5200000000004"/>
    <n v="0.05"/>
    <n v="221.67600000000004"/>
    <n v="4211.8440000000001"/>
    <n v="19.989999999999998"/>
    <n v="4231.8339999999998"/>
  </r>
  <r>
    <s v="6110-1"/>
    <d v="2015-11-07T00:00:00"/>
    <x v="2"/>
    <x v="380"/>
    <s v="240-242 Johnston Street,Fitzroy"/>
    <s v="Melbourne"/>
    <x v="0"/>
    <x v="1"/>
    <x v="1"/>
    <x v="1"/>
    <x v="28"/>
    <x v="0"/>
    <s v="Wrap Bag"/>
    <x v="0"/>
    <d v="2015-11-08T00:00:00"/>
    <n v="3.47"/>
    <n v="6.68"/>
    <n v="3.2099999999999995"/>
    <n v="12"/>
    <n v="80.16"/>
    <n v="0.06"/>
    <n v="4.8095999999999997"/>
    <n v="75.350399999999993"/>
    <n v="1.5"/>
    <n v="76.850399999999993"/>
  </r>
  <r>
    <s v="6112-1"/>
    <d v="2015-11-10T00:00:00"/>
    <x v="2"/>
    <x v="156"/>
    <s v="Westfield Miranda, 600 Kingsway,Miranda"/>
    <s v="Sydney"/>
    <x v="1"/>
    <x v="1"/>
    <x v="12"/>
    <x v="2"/>
    <x v="81"/>
    <x v="0"/>
    <s v="Wrap Bag"/>
    <x v="0"/>
    <d v="2015-11-14T00:00:00"/>
    <n v="0.93"/>
    <n v="1.48"/>
    <n v="0.54999999999999993"/>
    <n v="19"/>
    <n v="28.12"/>
    <n v="0"/>
    <n v="0"/>
    <n v="28.12"/>
    <n v="0.7"/>
    <n v="28.82"/>
  </r>
  <r>
    <s v="6113-1"/>
    <d v="2015-11-10T00:00:00"/>
    <x v="2"/>
    <x v="381"/>
    <s v="101 Murray Street"/>
    <s v="Perth"/>
    <x v="2"/>
    <x v="1"/>
    <x v="8"/>
    <x v="4"/>
    <x v="135"/>
    <x v="0"/>
    <s v="Small Box"/>
    <x v="0"/>
    <d v="2015-11-10T00:00:00"/>
    <n v="4.03"/>
    <n v="9.3800000000000008"/>
    <n v="5.3500000000000005"/>
    <n v="24"/>
    <n v="225.12"/>
    <n v="0.05"/>
    <n v="11.256"/>
    <n v="213.864"/>
    <n v="7.28"/>
    <n v="221.14400000000001"/>
  </r>
  <r>
    <s v="6114-1"/>
    <d v="2015-11-11T00:00:00"/>
    <x v="2"/>
    <x v="418"/>
    <s v="7 Khartoum Rd,Macquarie Park"/>
    <s v="Sydney"/>
    <x v="1"/>
    <x v="0"/>
    <x v="12"/>
    <x v="0"/>
    <x v="22"/>
    <x v="0"/>
    <s v="Small Box"/>
    <x v="0"/>
    <d v="2015-11-13T00:00:00"/>
    <n v="1.59"/>
    <n v="2.61"/>
    <n v="1.0199999999999998"/>
    <n v="40"/>
    <n v="104.39999999999999"/>
    <n v="0.03"/>
    <n v="3.1319999999999997"/>
    <n v="101.26799999999999"/>
    <n v="0.5"/>
    <n v="101.76799999999999"/>
  </r>
  <r>
    <s v="6116-1"/>
    <d v="2015-11-12T00:00:00"/>
    <x v="2"/>
    <x v="332"/>
    <s v="8 Rankins Lane ,Melbourne"/>
    <s v="Melbourne"/>
    <x v="0"/>
    <x v="3"/>
    <x v="1"/>
    <x v="3"/>
    <x v="116"/>
    <x v="0"/>
    <s v="Small Pack"/>
    <x v="0"/>
    <d v="2015-11-14T00:00:00"/>
    <n v="4.1900000000000004"/>
    <n v="10.23"/>
    <n v="6.04"/>
    <n v="46"/>
    <n v="470.58000000000004"/>
    <n v="0.08"/>
    <n v="37.646400000000007"/>
    <n v="432.93360000000001"/>
    <n v="4.68"/>
    <n v="437.61360000000002"/>
  </r>
  <r>
    <s v="6118-1"/>
    <d v="2015-11-15T00:00:00"/>
    <x v="2"/>
    <x v="443"/>
    <s v="223 Barkly St,St Kilda"/>
    <s v="Melbourne"/>
    <x v="0"/>
    <x v="1"/>
    <x v="0"/>
    <x v="2"/>
    <x v="144"/>
    <x v="0"/>
    <s v="Wrap Bag"/>
    <x v="0"/>
    <d v="2015-11-24T00:00:00"/>
    <n v="3.95"/>
    <n v="6.08"/>
    <n v="2.13"/>
    <n v="41"/>
    <n v="249.28"/>
    <n v="0.03"/>
    <n v="7.4783999999999997"/>
    <n v="241.80160000000001"/>
    <n v="1.82"/>
    <n v="243.6216"/>
  </r>
  <r>
    <s v="6119-1"/>
    <d v="2015-11-16T00:00:00"/>
    <x v="2"/>
    <x v="43"/>
    <s v="470 Anzac Parade,Kingsford"/>
    <s v="Sydney"/>
    <x v="1"/>
    <x v="2"/>
    <x v="8"/>
    <x v="1"/>
    <x v="63"/>
    <x v="0"/>
    <s v="Wrap Bag"/>
    <x v="0"/>
    <d v="2015-11-17T00:00:00"/>
    <n v="3.88"/>
    <n v="6.47"/>
    <n v="2.59"/>
    <n v="22"/>
    <n v="142.34"/>
    <n v="0.04"/>
    <n v="5.6936"/>
    <n v="136.6464"/>
    <n v="1.22"/>
    <n v="137.8664"/>
  </r>
  <r>
    <s v="6121-1"/>
    <d v="2015-11-17T00:00:00"/>
    <x v="2"/>
    <x v="444"/>
    <s v="32/82 King Street, Perth"/>
    <s v="Sydney"/>
    <x v="1"/>
    <x v="3"/>
    <x v="4"/>
    <x v="1"/>
    <x v="116"/>
    <x v="0"/>
    <s v="Small Pack"/>
    <x v="0"/>
    <d v="2015-11-19T00:00:00"/>
    <n v="4.1900000000000004"/>
    <n v="10.23"/>
    <n v="6.04"/>
    <n v="16"/>
    <n v="163.68"/>
    <n v="0.02"/>
    <n v="3.2736000000000001"/>
    <n v="160.40640000000002"/>
    <n v="4.68"/>
    <n v="165.08640000000003"/>
  </r>
  <r>
    <s v="6123-1"/>
    <d v="2015-11-17T00:00:00"/>
    <x v="2"/>
    <x v="439"/>
    <s v="438 Victoria Avenue,Chatswood"/>
    <s v="Sydney"/>
    <x v="1"/>
    <x v="3"/>
    <x v="5"/>
    <x v="2"/>
    <x v="71"/>
    <x v="0"/>
    <s v="Small Box"/>
    <x v="0"/>
    <d v="2015-11-24T00:00:00"/>
    <n v="4.46"/>
    <n v="10.89"/>
    <n v="6.4300000000000006"/>
    <n v="10"/>
    <n v="108.9"/>
    <n v="0.1"/>
    <n v="10.89"/>
    <n v="98.01"/>
    <n v="4.5"/>
    <n v="102.51"/>
  </r>
  <r>
    <s v="6124-1"/>
    <d v="2015-11-20T00:00:00"/>
    <x v="2"/>
    <x v="415"/>
    <s v="501 George St,Sydney"/>
    <s v="Sydney"/>
    <x v="1"/>
    <x v="0"/>
    <x v="6"/>
    <x v="0"/>
    <x v="73"/>
    <x v="0"/>
    <s v="Small Box"/>
    <x v="0"/>
    <d v="2015-11-22T00:00:00"/>
    <n v="1.94"/>
    <n v="3.08"/>
    <n v="1.1400000000000001"/>
    <n v="11"/>
    <n v="33.880000000000003"/>
    <n v="0.09"/>
    <n v="3.0491999999999999"/>
    <n v="30.830800000000004"/>
    <n v="0.99"/>
    <n v="31.820800000000002"/>
  </r>
  <r>
    <s v="6125-1"/>
    <d v="2015-11-22T00:00:00"/>
    <x v="2"/>
    <x v="333"/>
    <s v="53-55 Liverpool St,Sydney"/>
    <s v="Sydney"/>
    <x v="1"/>
    <x v="1"/>
    <x v="8"/>
    <x v="4"/>
    <x v="76"/>
    <x v="0"/>
    <s v="Wrap Bag"/>
    <x v="0"/>
    <d v="2015-11-23T00:00:00"/>
    <n v="1.53"/>
    <n v="2.78"/>
    <n v="1.2499999999999998"/>
    <n v="21"/>
    <n v="58.379999999999995"/>
    <n v="0.06"/>
    <n v="3.5027999999999997"/>
    <n v="54.877199999999995"/>
    <n v="1.34"/>
    <n v="56.217199999999998"/>
  </r>
  <r>
    <s v="6127-1"/>
    <d v="2015-11-24T00:00:00"/>
    <x v="2"/>
    <x v="172"/>
    <s v="541 Church St,Richmond"/>
    <s v="Melbourne"/>
    <x v="0"/>
    <x v="3"/>
    <x v="0"/>
    <x v="2"/>
    <x v="24"/>
    <x v="1"/>
    <s v="Small Box"/>
    <x v="0"/>
    <d v="2015-11-24T00:00:00"/>
    <n v="39.64"/>
    <n v="152.47999999999999"/>
    <n v="112.83999999999999"/>
    <n v="17"/>
    <n v="2592.16"/>
    <n v="0.04"/>
    <n v="103.68639999999999"/>
    <n v="2488.4735999999998"/>
    <n v="6.5"/>
    <n v="2494.9735999999998"/>
  </r>
  <r>
    <s v="6128-1"/>
    <d v="2015-11-28T00:00:00"/>
    <x v="2"/>
    <x v="445"/>
    <s v="8 Quay Street,Haymarket"/>
    <s v="Sydney"/>
    <x v="1"/>
    <x v="3"/>
    <x v="2"/>
    <x v="1"/>
    <x v="63"/>
    <x v="0"/>
    <s v="Wrap Bag"/>
    <x v="0"/>
    <d v="2015-11-30T00:00:00"/>
    <n v="3.88"/>
    <n v="6.47"/>
    <n v="2.59"/>
    <n v="16"/>
    <n v="103.52"/>
    <n v="0.01"/>
    <n v="1.0351999999999999"/>
    <n v="102.48479999999999"/>
    <n v="1.22"/>
    <n v="103.70479999999999"/>
  </r>
  <r>
    <s v="6130-1"/>
    <d v="2015-11-30T00:00:00"/>
    <x v="2"/>
    <x v="140"/>
    <s v="60 Commercial Rd,Prahran"/>
    <s v="Melbourne"/>
    <x v="0"/>
    <x v="1"/>
    <x v="0"/>
    <x v="0"/>
    <x v="11"/>
    <x v="0"/>
    <s v="Small Box"/>
    <x v="0"/>
    <d v="2015-12-01T00:00:00"/>
    <n v="36.020000000000003"/>
    <n v="58.1"/>
    <n v="22.08"/>
    <n v="27"/>
    <n v="1568.7"/>
    <n v="7.0000000000000007E-2"/>
    <n v="109.80900000000001"/>
    <n v="1458.8910000000001"/>
    <n v="1.49"/>
    <n v="1460.3810000000001"/>
  </r>
  <r>
    <s v="6132-1"/>
    <d v="2015-11-30T00:00:00"/>
    <x v="2"/>
    <x v="446"/>
    <s v="22 Civic Rd,Auburn"/>
    <s v="Sydney"/>
    <x v="1"/>
    <x v="1"/>
    <x v="11"/>
    <x v="3"/>
    <x v="62"/>
    <x v="0"/>
    <s v="Wrap Bag"/>
    <x v="0"/>
    <d v="2015-12-01T00:00:00"/>
    <n v="4.37"/>
    <n v="9.11"/>
    <n v="4.7399999999999993"/>
    <n v="30"/>
    <n v="273.29999999999995"/>
    <n v="0.03"/>
    <n v="8.1989999999999981"/>
    <n v="265.10099999999994"/>
    <n v="2.25"/>
    <n v="267.35099999999994"/>
  </r>
  <r>
    <s v="6134-1"/>
    <d v="2015-12-04T00:00:00"/>
    <x v="2"/>
    <x v="248"/>
    <s v="Qantas Domestic Terminal,Mascot"/>
    <s v="Sydney"/>
    <x v="1"/>
    <x v="3"/>
    <x v="4"/>
    <x v="0"/>
    <x v="128"/>
    <x v="0"/>
    <s v="Small Box"/>
    <x v="0"/>
    <d v="2015-12-05T00:00:00"/>
    <n v="1.84"/>
    <n v="2.88"/>
    <n v="1.0399999999999998"/>
    <n v="28"/>
    <n v="80.64"/>
    <n v="0.1"/>
    <n v="8.0640000000000001"/>
    <n v="72.575999999999993"/>
    <n v="0.99"/>
    <n v="73.565999999999988"/>
  </r>
  <r>
    <s v="6135-1"/>
    <d v="2015-12-06T00:00:00"/>
    <x v="2"/>
    <x v="364"/>
    <s v="523 King St,Newtown"/>
    <s v="Sydney"/>
    <x v="1"/>
    <x v="1"/>
    <x v="9"/>
    <x v="2"/>
    <x v="76"/>
    <x v="0"/>
    <s v="Wrap Bag"/>
    <x v="0"/>
    <d v="2015-12-08T00:00:00"/>
    <n v="1.17"/>
    <n v="2.78"/>
    <n v="1.6099999999999999"/>
    <n v="39"/>
    <n v="108.41999999999999"/>
    <n v="0.05"/>
    <n v="5.4209999999999994"/>
    <n v="102.999"/>
    <n v="1.2"/>
    <n v="104.199"/>
  </r>
  <r>
    <s v="6136-1"/>
    <d v="2015-12-06T00:00:00"/>
    <x v="2"/>
    <x v="447"/>
    <s v="Macquarie Centre Cnr Herring Road &amp; Waterloo Road,Macquarie Park"/>
    <s v="Sydney"/>
    <x v="1"/>
    <x v="1"/>
    <x v="3"/>
    <x v="3"/>
    <x v="38"/>
    <x v="0"/>
    <s v="Small Box"/>
    <x v="0"/>
    <d v="2015-12-07T00:00:00"/>
    <n v="1.18"/>
    <n v="1.88"/>
    <n v="0.7"/>
    <n v="20"/>
    <n v="37.599999999999994"/>
    <n v="7.0000000000000007E-2"/>
    <n v="2.6319999999999997"/>
    <n v="34.967999999999996"/>
    <n v="1.49"/>
    <n v="36.457999999999998"/>
  </r>
  <r>
    <s v="6138-1"/>
    <d v="2015-12-08T00:00:00"/>
    <x v="2"/>
    <x v="107"/>
    <s v="37/59 Brewer Street"/>
    <s v="Perth"/>
    <x v="2"/>
    <x v="1"/>
    <x v="8"/>
    <x v="2"/>
    <x v="53"/>
    <x v="0"/>
    <s v="Wrap Bag"/>
    <x v="0"/>
    <d v="2015-12-12T00:00:00"/>
    <n v="1.6"/>
    <n v="2.62"/>
    <n v="1.02"/>
    <n v="26"/>
    <n v="68.12"/>
    <n v="0.08"/>
    <n v="5.4496000000000002"/>
    <n v="62.670400000000001"/>
    <n v="0.8"/>
    <n v="63.470399999999998"/>
  </r>
  <r>
    <s v="6140-1"/>
    <d v="2015-12-09T00:00:00"/>
    <x v="2"/>
    <x v="23"/>
    <s v="99 Lygon Street,East Brunswick"/>
    <s v="Melbourne"/>
    <x v="0"/>
    <x v="1"/>
    <x v="1"/>
    <x v="0"/>
    <x v="5"/>
    <x v="0"/>
    <s v="Wrap Bag"/>
    <x v="0"/>
    <d v="2015-12-09T00:00:00"/>
    <n v="1.0900000000000001"/>
    <n v="2.6"/>
    <n v="1.51"/>
    <n v="14"/>
    <n v="36.4"/>
    <n v="0.08"/>
    <n v="2.9119999999999999"/>
    <n v="33.488"/>
    <n v="2.4"/>
    <n v="35.887999999999998"/>
  </r>
  <r>
    <s v="6141-1"/>
    <d v="2015-12-09T00:00:00"/>
    <x v="2"/>
    <x v="442"/>
    <s v="99 Lygon Street,East Brunswick"/>
    <s v="Melbourne"/>
    <x v="0"/>
    <x v="0"/>
    <x v="1"/>
    <x v="4"/>
    <x v="145"/>
    <x v="0"/>
    <s v="Wrap Bag"/>
    <x v="1"/>
    <d v="2015-12-10T00:00:00"/>
    <n v="0.32"/>
    <n v="1.68"/>
    <n v="1.3599999999999999"/>
    <n v="6"/>
    <n v="10.08"/>
    <n v="0.05"/>
    <n v="0.504"/>
    <n v="9.5760000000000005"/>
    <n v="1.02"/>
    <n v="10.596"/>
  </r>
  <r>
    <s v="6143-1"/>
    <d v="2015-12-16T00:00:00"/>
    <x v="2"/>
    <x v="186"/>
    <s v="27/580 Hay Street"/>
    <s v="Perth"/>
    <x v="2"/>
    <x v="0"/>
    <x v="8"/>
    <x v="1"/>
    <x v="23"/>
    <x v="1"/>
    <s v="Small Box"/>
    <x v="1"/>
    <d v="2015-12-18T00:00:00"/>
    <n v="6.39"/>
    <n v="19.98"/>
    <n v="13.59"/>
    <n v="18"/>
    <n v="359.64"/>
    <n v="0.04"/>
    <n v="14.3856"/>
    <n v="345.25439999999998"/>
    <n v="4"/>
    <n v="349.25439999999998"/>
  </r>
  <r>
    <s v="6143-2"/>
    <d v="2015-12-16T00:00:00"/>
    <x v="2"/>
    <x v="186"/>
    <s v="27/580 Hay Street"/>
    <s v="Perth"/>
    <x v="2"/>
    <x v="0"/>
    <x v="8"/>
    <x v="1"/>
    <x v="90"/>
    <x v="0"/>
    <s v="Small Box"/>
    <x v="0"/>
    <d v="2015-12-18T00:00:00"/>
    <n v="14.95"/>
    <n v="34.76"/>
    <n v="19.809999999999999"/>
    <n v="46"/>
    <n v="1598.9599999999998"/>
    <n v="0.09"/>
    <n v="143.90639999999999"/>
    <n v="1455.0535999999997"/>
    <n v="8.2200000000000006"/>
    <n v="1463.2735999999998"/>
  </r>
  <r>
    <s v="6144-1"/>
    <d v="2015-12-16T00:00:00"/>
    <x v="2"/>
    <x v="329"/>
    <s v="Sydney Fish Market, Bank Street, Sydney"/>
    <s v="Sydney"/>
    <x v="1"/>
    <x v="2"/>
    <x v="4"/>
    <x v="4"/>
    <x v="6"/>
    <x v="0"/>
    <s v="Small Box"/>
    <x v="0"/>
    <d v="2015-12-17T00:00:00"/>
    <n v="99.39"/>
    <n v="162.93"/>
    <n v="63.540000000000006"/>
    <n v="41"/>
    <n v="6680.13"/>
    <n v="0.01"/>
    <n v="66.801299999999998"/>
    <n v="6613.3287"/>
    <n v="19.989999999999998"/>
    <n v="6633.3186999999998"/>
  </r>
  <r>
    <s v="6146-1"/>
    <d v="2015-12-19T00:00:00"/>
    <x v="2"/>
    <x v="5"/>
    <s v="3 Carrington Road ,Box Hill"/>
    <s v="Melbourne"/>
    <x v="0"/>
    <x v="0"/>
    <x v="0"/>
    <x v="3"/>
    <x v="87"/>
    <x v="0"/>
    <s v="Wrap Bag"/>
    <x v="0"/>
    <d v="2015-12-21T00:00:00"/>
    <n v="3.32"/>
    <n v="5.18"/>
    <n v="1.8599999999999999"/>
    <n v="25"/>
    <n v="129.5"/>
    <n v="0.1"/>
    <n v="12.950000000000001"/>
    <n v="116.55"/>
    <n v="2.04"/>
    <n v="118.59"/>
  </r>
  <r>
    <s v="6148-1"/>
    <d v="2015-12-19T00:00:00"/>
    <x v="2"/>
    <x v="318"/>
    <s v="127 Liverpool St,Sydney"/>
    <s v="Sydney"/>
    <x v="1"/>
    <x v="1"/>
    <x v="6"/>
    <x v="1"/>
    <x v="71"/>
    <x v="0"/>
    <s v="Small Box"/>
    <x v="0"/>
    <d v="2015-12-21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150-1"/>
    <d v="2015-12-22T00:00:00"/>
    <x v="2"/>
    <x v="116"/>
    <s v="15 Aberdeen Street"/>
    <s v="Perth"/>
    <x v="2"/>
    <x v="0"/>
    <x v="13"/>
    <x v="3"/>
    <x v="33"/>
    <x v="1"/>
    <s v="Small Box"/>
    <x v="0"/>
    <d v="2015-12-24T00:00:00"/>
    <n v="19.78"/>
    <n v="45.99"/>
    <n v="26.21"/>
    <n v="11"/>
    <n v="505.89000000000004"/>
    <n v="7.0000000000000007E-2"/>
    <n v="35.412300000000009"/>
    <n v="470.47770000000003"/>
    <n v="4.99"/>
    <n v="475.46770000000004"/>
  </r>
  <r>
    <s v="6151-1"/>
    <d v="2015-12-24T00:00:00"/>
    <x v="2"/>
    <x v="163"/>
    <s v="Sydney Fish Market, Bank Street, Sydney"/>
    <s v="Sydney"/>
    <x v="1"/>
    <x v="1"/>
    <x v="4"/>
    <x v="1"/>
    <x v="38"/>
    <x v="0"/>
    <s v="Small Box"/>
    <x v="0"/>
    <d v="2015-12-26T00:00:00"/>
    <n v="1.18"/>
    <n v="1.88"/>
    <n v="0.7"/>
    <n v="39"/>
    <n v="73.319999999999993"/>
    <n v="7.0000000000000007E-2"/>
    <n v="5.1323999999999996"/>
    <n v="68.187599999999989"/>
    <n v="1.49"/>
    <n v="69.677599999999984"/>
  </r>
  <r>
    <s v="6152-1"/>
    <d v="2015-12-25T00:00:00"/>
    <x v="2"/>
    <x v="266"/>
    <s v="14 Money Street, Perth"/>
    <s v="Sydney"/>
    <x v="1"/>
    <x v="1"/>
    <x v="2"/>
    <x v="2"/>
    <x v="110"/>
    <x v="1"/>
    <s v="Large Box"/>
    <x v="0"/>
    <d v="2016-01-01T00:00:00"/>
    <n v="377.99"/>
    <n v="599.99"/>
    <n v="222"/>
    <n v="17"/>
    <n v="10199.83"/>
    <n v="0.08"/>
    <n v="815.9864"/>
    <n v="9383.8436000000002"/>
    <n v="24.49"/>
    <n v="9408.3335999999999"/>
  </r>
  <r>
    <s v="6154-1"/>
    <d v="2015-12-25T00:00:00"/>
    <x v="2"/>
    <x v="90"/>
    <s v="470 Anzac Parade,Kingsford"/>
    <s v="Sydney"/>
    <x v="1"/>
    <x v="1"/>
    <x v="8"/>
    <x v="0"/>
    <x v="7"/>
    <x v="0"/>
    <s v="Wrap Bag"/>
    <x v="0"/>
    <d v="2015-12-26T00:00:00"/>
    <n v="1.0900000000000001"/>
    <n v="1.68"/>
    <n v="0.58999999999999986"/>
    <n v="24"/>
    <n v="40.32"/>
    <n v="0.05"/>
    <n v="2.016"/>
    <n v="38.304000000000002"/>
    <n v="1"/>
    <n v="39.304000000000002"/>
  </r>
  <r>
    <s v="6155-1"/>
    <d v="2015-12-28T00:00:00"/>
    <x v="2"/>
    <x v="448"/>
    <s v="10 Bligh St,Melbourne"/>
    <s v="Melbourne"/>
    <x v="0"/>
    <x v="0"/>
    <x v="0"/>
    <x v="0"/>
    <x v="30"/>
    <x v="1"/>
    <s v="Medium Box"/>
    <x v="0"/>
    <d v="2015-12-29T00:00:00"/>
    <n v="8.82"/>
    <n v="20.99"/>
    <n v="12.169999999999998"/>
    <n v="30"/>
    <n v="629.69999999999993"/>
    <n v="0.03"/>
    <n v="18.890999999999998"/>
    <n v="610.80899999999997"/>
    <n v="4.8099999999999996"/>
    <n v="615.61899999999991"/>
  </r>
  <r>
    <s v="6157-1"/>
    <d v="2015-12-28T00:00:00"/>
    <x v="2"/>
    <x v="242"/>
    <s v="73 York St,Sydney"/>
    <s v="Sydney"/>
    <x v="1"/>
    <x v="3"/>
    <x v="8"/>
    <x v="1"/>
    <x v="38"/>
    <x v="0"/>
    <s v="Small Box"/>
    <x v="0"/>
    <d v="2015-12-30T00:00:00"/>
    <n v="1.18"/>
    <n v="1.88"/>
    <n v="0.7"/>
    <n v="1"/>
    <n v="1.88"/>
    <n v="0.09"/>
    <n v="0.16919999999999999"/>
    <n v="1.7107999999999999"/>
    <n v="1.49"/>
    <n v="3.2008000000000001"/>
  </r>
  <r>
    <s v="6158-1"/>
    <d v="2015-12-28T00:00:00"/>
    <x v="2"/>
    <x v="424"/>
    <s v="32/82 King Street"/>
    <s v="Perth"/>
    <x v="2"/>
    <x v="1"/>
    <x v="11"/>
    <x v="2"/>
    <x v="96"/>
    <x v="0"/>
    <s v="Small Pack"/>
    <x v="1"/>
    <d v="2016-01-04T00:00:00"/>
    <n v="16.8"/>
    <n v="40.97"/>
    <n v="24.169999999999998"/>
    <n v="49"/>
    <n v="2007.53"/>
    <n v="0.1"/>
    <n v="200.75300000000001"/>
    <n v="1806.777"/>
    <n v="8.99"/>
    <n v="1815.7670000000001"/>
  </r>
  <r>
    <s v="6159-1"/>
    <d v="2015-12-31T00:00:00"/>
    <x v="2"/>
    <x v="215"/>
    <s v="1/20 Pendal Lane"/>
    <s v="Perth"/>
    <x v="2"/>
    <x v="0"/>
    <x v="5"/>
    <x v="0"/>
    <x v="94"/>
    <x v="0"/>
    <s v="Small Box"/>
    <x v="0"/>
    <d v="2016-01-01T00:00:00"/>
    <n v="4.53"/>
    <n v="7.3"/>
    <n v="2.7699999999999996"/>
    <n v="38"/>
    <n v="277.39999999999998"/>
    <n v="0.05"/>
    <n v="13.87"/>
    <n v="263.52999999999997"/>
    <n v="7.72"/>
    <n v="271.25"/>
  </r>
  <r>
    <s v="6159-2"/>
    <d v="2015-12-31T00:00:00"/>
    <x v="2"/>
    <x v="215"/>
    <s v="1/20 Pendal Lane"/>
    <s v="Perth"/>
    <x v="2"/>
    <x v="0"/>
    <x v="5"/>
    <x v="4"/>
    <x v="97"/>
    <x v="0"/>
    <s v="Small Box"/>
    <x v="0"/>
    <d v="2016-01-01T00:00:00"/>
    <n v="2.29"/>
    <n v="3.69"/>
    <n v="1.4"/>
    <n v="41"/>
    <n v="151.29"/>
    <n v="0.01"/>
    <n v="1.5128999999999999"/>
    <n v="149.77709999999999"/>
    <n v="0.5"/>
    <n v="150.27709999999999"/>
  </r>
  <r>
    <s v="6159-2"/>
    <d v="2015-12-31T00:00:00"/>
    <x v="2"/>
    <x v="215"/>
    <s v="1/20 Pendal Lane"/>
    <s v="Perth"/>
    <x v="2"/>
    <x v="0"/>
    <x v="5"/>
    <x v="0"/>
    <x v="62"/>
    <x v="0"/>
    <s v="Wrap Bag"/>
    <x v="1"/>
    <d v="2016-01-01T00:00:00"/>
    <n v="4.37"/>
    <n v="9.11"/>
    <n v="4.7399999999999993"/>
    <n v="21"/>
    <n v="191.31"/>
    <n v="0.03"/>
    <n v="5.7393000000000001"/>
    <n v="185.57069999999999"/>
    <n v="2.25"/>
    <n v="187.82069999999999"/>
  </r>
  <r>
    <s v="6165-1"/>
    <d v="2016-01-02T00:00:00"/>
    <x v="3"/>
    <x v="449"/>
    <s v="10/145 Newcastle Street, Perth"/>
    <s v="Sydney"/>
    <x v="1"/>
    <x v="1"/>
    <x v="12"/>
    <x v="3"/>
    <x v="130"/>
    <x v="1"/>
    <s v="Small Box"/>
    <x v="0"/>
    <d v="2016-01-03T00:00:00"/>
    <n v="14.7"/>
    <n v="29.99"/>
    <n v="15.29"/>
    <n v="14"/>
    <n v="419.85999999999996"/>
    <n v="0.04"/>
    <n v="16.7944"/>
    <n v="403.06559999999996"/>
    <n v="5.5"/>
    <n v="408.56559999999996"/>
  </r>
  <r>
    <s v="6166-1"/>
    <d v="2016-01-09T00:00:00"/>
    <x v="3"/>
    <x v="318"/>
    <s v="127 Liverpool St,Sydney"/>
    <s v="Sydney"/>
    <x v="1"/>
    <x v="0"/>
    <x v="6"/>
    <x v="0"/>
    <x v="28"/>
    <x v="0"/>
    <s v="Wrap Bag"/>
    <x v="0"/>
    <d v="2016-01-11T00:00:00"/>
    <n v="3.47"/>
    <n v="6.68"/>
    <n v="3.2099999999999995"/>
    <n v="10"/>
    <n v="66.8"/>
    <n v="0.08"/>
    <n v="5.3440000000000003"/>
    <n v="61.455999999999996"/>
    <n v="1.5"/>
    <n v="62.955999999999996"/>
  </r>
  <r>
    <s v="6167-1"/>
    <d v="2016-01-12T00:00:00"/>
    <x v="3"/>
    <x v="334"/>
    <s v="1 John St,Waterloo"/>
    <s v="Sydney"/>
    <x v="1"/>
    <x v="0"/>
    <x v="10"/>
    <x v="0"/>
    <x v="37"/>
    <x v="0"/>
    <s v="Small Box"/>
    <x v="0"/>
    <d v="2016-01-14T00:00:00"/>
    <n v="13.64"/>
    <n v="20.98"/>
    <n v="7.34"/>
    <n v="34"/>
    <n v="713.32"/>
    <n v="7.0000000000000007E-2"/>
    <n v="49.932400000000008"/>
    <n v="663.38760000000002"/>
    <n v="1.49"/>
    <n v="664.87760000000003"/>
  </r>
  <r>
    <s v="6168-1"/>
    <d v="2016-01-17T00:00:00"/>
    <x v="3"/>
    <x v="14"/>
    <s v="14 Money Street, Perth"/>
    <s v="Sydney"/>
    <x v="1"/>
    <x v="0"/>
    <x v="7"/>
    <x v="0"/>
    <x v="29"/>
    <x v="1"/>
    <s v="Small Pack"/>
    <x v="0"/>
    <d v="2016-01-18T00:00:00"/>
    <n v="1.87"/>
    <n v="8.1199999999999992"/>
    <n v="6.2499999999999991"/>
    <n v="47"/>
    <n v="381.64"/>
    <n v="7.0000000000000007E-2"/>
    <n v="26.7148"/>
    <n v="354.92519999999996"/>
    <n v="2.83"/>
    <n v="357.75519999999995"/>
  </r>
  <r>
    <s v="6169-1"/>
    <d v="2016-01-17T00:00:00"/>
    <x v="3"/>
    <x v="428"/>
    <s v="Westfield 1 Anderson St,Chatswood"/>
    <s v="Sydney"/>
    <x v="1"/>
    <x v="2"/>
    <x v="3"/>
    <x v="4"/>
    <x v="29"/>
    <x v="1"/>
    <s v="Small Pack"/>
    <x v="0"/>
    <d v="2016-01-17T00:00:00"/>
    <n v="1.87"/>
    <n v="8.1199999999999992"/>
    <n v="6.2499999999999991"/>
    <n v="36"/>
    <n v="292.32"/>
    <n v="0.1"/>
    <n v="29.231999999999999"/>
    <n v="263.08799999999997"/>
    <n v="2.83"/>
    <n v="265.91799999999995"/>
  </r>
  <r>
    <s v="6170-1"/>
    <d v="2016-01-17T00:00:00"/>
    <x v="3"/>
    <x v="432"/>
    <s v="188 Pitt Street,Sydney"/>
    <s v="Sydney"/>
    <x v="1"/>
    <x v="0"/>
    <x v="8"/>
    <x v="4"/>
    <x v="26"/>
    <x v="0"/>
    <s v="Small Pack"/>
    <x v="0"/>
    <d v="2016-01-19T00:00:00"/>
    <n v="4.79"/>
    <n v="11.97"/>
    <n v="7.1800000000000006"/>
    <n v="28"/>
    <n v="335.16"/>
    <n v="0.03"/>
    <n v="10.0548"/>
    <n v="325.10520000000002"/>
    <n v="5.81"/>
    <n v="330.91520000000003"/>
  </r>
  <r>
    <s v="6172-1"/>
    <d v="2016-01-18T00:00:00"/>
    <x v="3"/>
    <x v="357"/>
    <s v="310 Wattle St,Ultimo"/>
    <s v="Sydney"/>
    <x v="1"/>
    <x v="0"/>
    <x v="9"/>
    <x v="3"/>
    <x v="25"/>
    <x v="1"/>
    <s v="Small Box"/>
    <x v="0"/>
    <d v="2016-01-20T00:00:00"/>
    <n v="8.31"/>
    <n v="15.98"/>
    <n v="7.67"/>
    <n v="4"/>
    <n v="63.92"/>
    <n v="0.09"/>
    <n v="5.7527999999999997"/>
    <n v="58.167200000000001"/>
    <n v="6.5"/>
    <n v="64.667200000000008"/>
  </r>
  <r>
    <s v="6174-1"/>
    <d v="2016-01-19T00:00:00"/>
    <x v="3"/>
    <x v="142"/>
    <s v="Sydney Fish Market, Bank Street, Sydney"/>
    <s v="Sydney"/>
    <x v="1"/>
    <x v="1"/>
    <x v="4"/>
    <x v="0"/>
    <x v="71"/>
    <x v="0"/>
    <s v="Small Box"/>
    <x v="0"/>
    <d v="2016-01-19T00:00:00"/>
    <n v="4.46"/>
    <n v="10.89"/>
    <n v="6.4300000000000006"/>
    <n v="25"/>
    <n v="272.25"/>
    <n v="0.03"/>
    <n v="8.1675000000000004"/>
    <n v="264.08249999999998"/>
    <n v="4.5"/>
    <n v="268.58249999999998"/>
  </r>
  <r>
    <s v="6175-1"/>
    <d v="2016-01-19T00:00:00"/>
    <x v="3"/>
    <x v="450"/>
    <s v="501 George St,Sydney"/>
    <s v="Sydney"/>
    <x v="1"/>
    <x v="2"/>
    <x v="6"/>
    <x v="1"/>
    <x v="19"/>
    <x v="0"/>
    <s v="Small Pack"/>
    <x v="0"/>
    <d v="2016-01-19T00:00:00"/>
    <n v="0.94"/>
    <n v="2.08"/>
    <n v="1.1400000000000001"/>
    <n v="33"/>
    <n v="68.64"/>
    <n v="0.05"/>
    <n v="3.4320000000000004"/>
    <n v="65.207999999999998"/>
    <n v="2.56"/>
    <n v="67.768000000000001"/>
  </r>
  <r>
    <s v="6176-1"/>
    <d v="2016-01-19T00:00:00"/>
    <x v="3"/>
    <x v="451"/>
    <s v="53-55 Liverpool Street,Sydney"/>
    <s v="Sydney"/>
    <x v="1"/>
    <x v="1"/>
    <x v="8"/>
    <x v="1"/>
    <x v="41"/>
    <x v="1"/>
    <s v="Small Box"/>
    <x v="0"/>
    <d v="2016-01-19T00:00:00"/>
    <n v="156.5"/>
    <n v="300.97000000000003"/>
    <n v="144.47000000000003"/>
    <n v="43"/>
    <n v="12941.710000000001"/>
    <n v="0.08"/>
    <n v="1035.3368"/>
    <n v="11906.373200000002"/>
    <n v="7.18"/>
    <n v="11913.553200000002"/>
  </r>
  <r>
    <s v="6177-1"/>
    <d v="2016-01-24T00:00:00"/>
    <x v="3"/>
    <x v="452"/>
    <s v="Westfield Miranda, 600 Kingsway,Miranda"/>
    <s v="Sydney"/>
    <x v="1"/>
    <x v="0"/>
    <x v="12"/>
    <x v="1"/>
    <x v="85"/>
    <x v="0"/>
    <s v="Small Pack"/>
    <x v="0"/>
    <d v="2016-01-25T00:00:00"/>
    <n v="5.19"/>
    <n v="12.98"/>
    <n v="7.79"/>
    <n v="50"/>
    <n v="649"/>
    <n v="0.08"/>
    <n v="51.92"/>
    <n v="597.08000000000004"/>
    <n v="3.14"/>
    <n v="600.22"/>
  </r>
  <r>
    <s v="6179-1"/>
    <d v="2016-01-26T00:00:00"/>
    <x v="3"/>
    <x v="73"/>
    <s v="508/130 Mounts Bay Road, Perth"/>
    <s v="Perth"/>
    <x v="2"/>
    <x v="1"/>
    <x v="8"/>
    <x v="0"/>
    <x v="2"/>
    <x v="0"/>
    <s v="Wrap Bag"/>
    <x v="1"/>
    <d v="2016-01-28T00:00:00"/>
    <n v="2.41"/>
    <n v="3.71"/>
    <n v="1.2999999999999998"/>
    <n v="16"/>
    <n v="59.36"/>
    <n v="0.1"/>
    <n v="5.9359999999999999"/>
    <n v="53.423999999999999"/>
    <n v="1.93"/>
    <n v="55.353999999999999"/>
  </r>
  <r>
    <s v="6181-1"/>
    <d v="2016-01-28T00:00:00"/>
    <x v="3"/>
    <x v="453"/>
    <s v="21 Wentworth St,Parramatta"/>
    <s v="Sydney"/>
    <x v="1"/>
    <x v="0"/>
    <x v="9"/>
    <x v="4"/>
    <x v="24"/>
    <x v="1"/>
    <s v="Small Box"/>
    <x v="0"/>
    <d v="2016-01-29T00:00:00"/>
    <n v="39.64"/>
    <n v="152.47999999999999"/>
    <n v="112.83999999999999"/>
    <n v="27"/>
    <n v="4116.96"/>
    <n v="0.1"/>
    <n v="411.69600000000003"/>
    <n v="3705.2640000000001"/>
    <n v="6.5"/>
    <n v="3711.7640000000001"/>
  </r>
  <r>
    <s v="6183-1"/>
    <d v="2016-01-28T00:00:00"/>
    <x v="3"/>
    <x v="454"/>
    <s v="10/145 Newcastle Street"/>
    <s v="Perth"/>
    <x v="2"/>
    <x v="0"/>
    <x v="11"/>
    <x v="1"/>
    <x v="111"/>
    <x v="0"/>
    <s v="Wrap Bag"/>
    <x v="0"/>
    <d v="2016-01-30T00:00:00"/>
    <n v="2.59"/>
    <n v="3.98"/>
    <n v="1.3900000000000001"/>
    <n v="41"/>
    <n v="163.18"/>
    <n v="0.1"/>
    <n v="16.318000000000001"/>
    <n v="146.86199999999999"/>
    <n v="2.97"/>
    <n v="149.83199999999999"/>
  </r>
  <r>
    <s v="6184-1"/>
    <d v="2016-01-29T00:00:00"/>
    <x v="3"/>
    <x v="406"/>
    <s v="1 John Street,Waterloo"/>
    <s v="Sydney"/>
    <x v="1"/>
    <x v="0"/>
    <x v="10"/>
    <x v="3"/>
    <x v="76"/>
    <x v="0"/>
    <s v="Wrap Bag"/>
    <x v="0"/>
    <d v="2016-01-31T00:00:00"/>
    <n v="1.53"/>
    <n v="2.78"/>
    <n v="1.2499999999999998"/>
    <n v="38"/>
    <n v="105.63999999999999"/>
    <n v="0"/>
    <n v="0"/>
    <n v="105.63999999999999"/>
    <n v="1.34"/>
    <n v="106.97999999999999"/>
  </r>
  <r>
    <s v="6185-1"/>
    <d v="2016-02-01T00:00:00"/>
    <x v="3"/>
    <x v="455"/>
    <s v="224A Gertrude St,Fitzroy"/>
    <s v="Melbourne"/>
    <x v="0"/>
    <x v="2"/>
    <x v="1"/>
    <x v="0"/>
    <x v="136"/>
    <x v="0"/>
    <s v="Small Box"/>
    <x v="0"/>
    <d v="2016-02-02T00:00:00"/>
    <n v="1.19"/>
    <n v="1.98"/>
    <n v="0.79"/>
    <n v="12"/>
    <n v="23.759999999999998"/>
    <n v="7.0000000000000007E-2"/>
    <n v="1.6632"/>
    <n v="22.096799999999998"/>
    <n v="4.7699999999999996"/>
    <n v="26.866799999999998"/>
  </r>
  <r>
    <s v="6186-1"/>
    <d v="2016-02-02T00:00:00"/>
    <x v="3"/>
    <x v="456"/>
    <s v="1/173-179 Bronte Rd,Waverley"/>
    <s v="Sydney"/>
    <x v="1"/>
    <x v="1"/>
    <x v="2"/>
    <x v="1"/>
    <x v="67"/>
    <x v="1"/>
    <s v="Jumbo Drum"/>
    <x v="2"/>
    <d v="2016-02-03T00:00:00"/>
    <n v="278.99"/>
    <n v="449.99"/>
    <n v="171"/>
    <n v="16"/>
    <n v="7199.84"/>
    <n v="0.09"/>
    <n v="647.98559999999998"/>
    <n v="6551.8544000000002"/>
    <n v="49"/>
    <n v="6600.8544000000002"/>
  </r>
  <r>
    <s v="6187-1"/>
    <d v="2016-02-03T00:00:00"/>
    <x v="3"/>
    <x v="118"/>
    <s v="221 Barkly St,St Kilda"/>
    <s v="Melbourne"/>
    <x v="0"/>
    <x v="3"/>
    <x v="0"/>
    <x v="2"/>
    <x v="144"/>
    <x v="0"/>
    <s v="Wrap Bag"/>
    <x v="0"/>
    <d v="2016-02-05T00:00:00"/>
    <n v="3.95"/>
    <n v="6.08"/>
    <n v="2.13"/>
    <n v="42"/>
    <n v="255.36"/>
    <n v="0.09"/>
    <n v="22.982400000000002"/>
    <n v="232.3776"/>
    <n v="1.82"/>
    <n v="234.19759999999999"/>
  </r>
  <r>
    <s v="6189-1"/>
    <d v="2016-02-04T00:00:00"/>
    <x v="3"/>
    <x v="457"/>
    <s v="10 Lake Street"/>
    <s v="Perth"/>
    <x v="2"/>
    <x v="3"/>
    <x v="4"/>
    <x v="3"/>
    <x v="96"/>
    <x v="0"/>
    <s v="Small Pack"/>
    <x v="1"/>
    <d v="2016-02-05T00:00:00"/>
    <n v="16.8"/>
    <n v="40.97"/>
    <n v="24.169999999999998"/>
    <n v="49"/>
    <n v="2007.53"/>
    <n v="0.04"/>
    <n v="80.301199999999994"/>
    <n v="1927.2287999999999"/>
    <n v="8.99"/>
    <n v="1936.2187999999999"/>
  </r>
  <r>
    <s v="6190-1"/>
    <d v="2016-02-08T00:00:00"/>
    <x v="3"/>
    <x v="319"/>
    <s v="499-501 Lygon Street,Carlton North"/>
    <s v="Melbourne"/>
    <x v="0"/>
    <x v="0"/>
    <x v="0"/>
    <x v="4"/>
    <x v="32"/>
    <x v="0"/>
    <s v="Wrap Bag"/>
    <x v="0"/>
    <d v="2016-02-09T00:00:00"/>
    <n v="21.56"/>
    <n v="36.549999999999997"/>
    <n v="14.989999999999998"/>
    <n v="6"/>
    <n v="219.29999999999998"/>
    <n v="0.01"/>
    <n v="2.1930000000000001"/>
    <n v="217.10699999999997"/>
    <n v="13.89"/>
    <n v="230.99699999999996"/>
  </r>
  <r>
    <s v="6191-1"/>
    <d v="2016-02-09T00:00:00"/>
    <x v="3"/>
    <x v="45"/>
    <s v="2/797 Botany Rd,Rosebery"/>
    <s v="Sydney"/>
    <x v="1"/>
    <x v="1"/>
    <x v="6"/>
    <x v="2"/>
    <x v="111"/>
    <x v="0"/>
    <s v="Wrap Bag"/>
    <x v="0"/>
    <d v="2016-02-14T00:00:00"/>
    <n v="2.59"/>
    <n v="3.98"/>
    <n v="1.3900000000000001"/>
    <n v="50"/>
    <n v="199"/>
    <n v="0.08"/>
    <n v="15.92"/>
    <n v="183.08"/>
    <n v="2.97"/>
    <n v="186.05"/>
  </r>
  <r>
    <s v="6193-1"/>
    <d v="2016-02-10T00:00:00"/>
    <x v="3"/>
    <x v="45"/>
    <s v="2/797 Botany Rd,Rosebery"/>
    <s v="Sydney"/>
    <x v="1"/>
    <x v="1"/>
    <x v="6"/>
    <x v="4"/>
    <x v="55"/>
    <x v="0"/>
    <s v="Wrap Bag"/>
    <x v="0"/>
    <d v="2016-02-11T00:00:00"/>
    <n v="11.11"/>
    <n v="19.84"/>
    <n v="8.73"/>
    <n v="10"/>
    <n v="198.4"/>
    <n v="0.05"/>
    <n v="9.9200000000000017"/>
    <n v="188.48000000000002"/>
    <n v="4.0999999999999996"/>
    <n v="192.58"/>
  </r>
  <r>
    <s v="6194-1"/>
    <d v="2016-02-11T00:00:00"/>
    <x v="3"/>
    <x v="221"/>
    <s v="5/63-71 Enmore Rd,Newtown"/>
    <s v="Sydney"/>
    <x v="1"/>
    <x v="2"/>
    <x v="10"/>
    <x v="4"/>
    <x v="92"/>
    <x v="1"/>
    <s v="Small Box"/>
    <x v="0"/>
    <d v="2016-02-13T00:00:00"/>
    <n v="41.28"/>
    <n v="95.99"/>
    <n v="54.709999999999994"/>
    <n v="14"/>
    <n v="1343.86"/>
    <n v="0.04"/>
    <n v="53.754399999999997"/>
    <n v="1290.1055999999999"/>
    <n v="8.99"/>
    <n v="1299.0955999999999"/>
  </r>
  <r>
    <s v="6196-1"/>
    <d v="2016-02-11T00:00:00"/>
    <x v="3"/>
    <x v="437"/>
    <s v="Westfield 1 Anderson St,Chatswood"/>
    <s v="Sydney"/>
    <x v="1"/>
    <x v="0"/>
    <x v="3"/>
    <x v="2"/>
    <x v="6"/>
    <x v="0"/>
    <s v="Small Box"/>
    <x v="0"/>
    <d v="2016-02-20T00:00:00"/>
    <n v="99.39"/>
    <n v="162.93"/>
    <n v="63.540000000000006"/>
    <n v="22"/>
    <n v="3584.46"/>
    <n v="7.0000000000000007E-2"/>
    <n v="250.91220000000001"/>
    <n v="3333.5477999999998"/>
    <n v="19.989999999999998"/>
    <n v="3353.5377999999996"/>
  </r>
  <r>
    <s v="6197-1"/>
    <d v="2016-02-12T00:00:00"/>
    <x v="3"/>
    <x v="258"/>
    <s v="412 Brunswick St,Fitzroy"/>
    <s v="Melbourne"/>
    <x v="0"/>
    <x v="3"/>
    <x v="1"/>
    <x v="1"/>
    <x v="98"/>
    <x v="0"/>
    <s v="Wrap Bag"/>
    <x v="0"/>
    <d v="2016-02-13T00:00:00"/>
    <n v="5.22"/>
    <n v="9.85"/>
    <n v="4.63"/>
    <n v="48"/>
    <n v="472.79999999999995"/>
    <n v="0.09"/>
    <n v="42.551999999999992"/>
    <n v="430.24799999999993"/>
    <n v="4.82"/>
    <n v="435.06799999999993"/>
  </r>
  <r>
    <s v="6197-2"/>
    <d v="2016-02-12T00:00:00"/>
    <x v="3"/>
    <x v="258"/>
    <s v="412 Brunswick St,Fitzroy"/>
    <s v="Melbourne"/>
    <x v="0"/>
    <x v="3"/>
    <x v="1"/>
    <x v="1"/>
    <x v="100"/>
    <x v="0"/>
    <s v="Wrap Bag"/>
    <x v="0"/>
    <d v="2016-02-13T00:00:00"/>
    <n v="1.76"/>
    <n v="2.94"/>
    <n v="1.18"/>
    <n v="18"/>
    <n v="52.92"/>
    <n v="0.01"/>
    <n v="0.5292"/>
    <n v="52.390799999999999"/>
    <n v="0.81"/>
    <n v="53.200800000000001"/>
  </r>
  <r>
    <s v="6201-1"/>
    <d v="2016-02-13T00:00:00"/>
    <x v="3"/>
    <x v="290"/>
    <s v="273 George Street,Sydney"/>
    <s v="Sydney"/>
    <x v="1"/>
    <x v="2"/>
    <x v="2"/>
    <x v="0"/>
    <x v="36"/>
    <x v="2"/>
    <s v="Small Pack"/>
    <x v="0"/>
    <d v="2016-02-14T00:00:00"/>
    <n v="5.5"/>
    <n v="12.22"/>
    <n v="6.7200000000000006"/>
    <n v="10"/>
    <n v="122.2"/>
    <n v="0.1"/>
    <n v="12.22"/>
    <n v="109.98"/>
    <n v="2.85"/>
    <n v="112.83"/>
  </r>
  <r>
    <s v="6203-1"/>
    <d v="2016-02-13T00:00:00"/>
    <x v="3"/>
    <x v="458"/>
    <s v="2-4 College Street, Darlinghurst"/>
    <s v="Sydney"/>
    <x v="1"/>
    <x v="1"/>
    <x v="3"/>
    <x v="0"/>
    <x v="116"/>
    <x v="0"/>
    <s v="Small Pack"/>
    <x v="1"/>
    <d v="2016-02-16T00:00:00"/>
    <n v="4.1900000000000004"/>
    <n v="10.23"/>
    <n v="6.04"/>
    <n v="19"/>
    <n v="194.37"/>
    <n v="0.08"/>
    <n v="15.5496"/>
    <n v="178.82040000000001"/>
    <n v="4.68"/>
    <n v="183.50040000000001"/>
  </r>
  <r>
    <s v="6204-1"/>
    <d v="2016-02-13T00:00:00"/>
    <x v="3"/>
    <x v="310"/>
    <s v="506 Swan Street,Richmond"/>
    <s v="Melbourne"/>
    <x v="0"/>
    <x v="2"/>
    <x v="1"/>
    <x v="0"/>
    <x v="52"/>
    <x v="0"/>
    <s v="Wrap Bag"/>
    <x v="0"/>
    <d v="2016-02-16T00:00:00"/>
    <n v="2.9"/>
    <n v="4.76"/>
    <n v="1.8599999999999999"/>
    <n v="33"/>
    <n v="157.07999999999998"/>
    <n v="0.06"/>
    <n v="9.4247999999999994"/>
    <n v="147.65519999999998"/>
    <n v="0.88"/>
    <n v="148.53519999999997"/>
  </r>
  <r>
    <s v="6206-1"/>
    <d v="2016-02-16T00:00:00"/>
    <x v="3"/>
    <x v="181"/>
    <s v="85-113 Dunning Ave,Rosebery"/>
    <s v="Sydney"/>
    <x v="1"/>
    <x v="3"/>
    <x v="11"/>
    <x v="3"/>
    <x v="94"/>
    <x v="0"/>
    <s v="Small Box"/>
    <x v="0"/>
    <d v="2016-02-17T00:00:00"/>
    <n v="4.53"/>
    <n v="7.3"/>
    <n v="2.7699999999999996"/>
    <n v="36"/>
    <n v="262.8"/>
    <n v="0.1"/>
    <n v="26.28"/>
    <n v="236.52"/>
    <n v="7.72"/>
    <n v="244.24"/>
  </r>
  <r>
    <s v="6208-1"/>
    <d v="2016-02-16T00:00:00"/>
    <x v="3"/>
    <x v="459"/>
    <s v="6-8 O'Connell Street,Newtown"/>
    <s v="Sydney"/>
    <x v="1"/>
    <x v="1"/>
    <x v="3"/>
    <x v="2"/>
    <x v="111"/>
    <x v="0"/>
    <s v="Wrap Bag"/>
    <x v="0"/>
    <d v="2016-02-21T00:00:00"/>
    <n v="2.59"/>
    <n v="3.98"/>
    <n v="1.3900000000000001"/>
    <n v="11"/>
    <n v="43.78"/>
    <n v="0.01"/>
    <n v="0.43780000000000002"/>
    <n v="43.342199999999998"/>
    <n v="2.97"/>
    <n v="46.312199999999997"/>
  </r>
  <r>
    <s v="6209-1"/>
    <d v="2016-02-17T00:00:00"/>
    <x v="3"/>
    <x v="102"/>
    <s v="499-501 Lygon Street,Carlton North"/>
    <s v="Melbourne"/>
    <x v="0"/>
    <x v="0"/>
    <x v="0"/>
    <x v="3"/>
    <x v="53"/>
    <x v="0"/>
    <s v="Wrap Bag"/>
    <x v="0"/>
    <d v="2016-02-18T00:00:00"/>
    <n v="1.6"/>
    <n v="2.62"/>
    <n v="1.02"/>
    <n v="48"/>
    <n v="125.76"/>
    <n v="0.1"/>
    <n v="12.576000000000001"/>
    <n v="113.184"/>
    <n v="0.8"/>
    <n v="113.98399999999999"/>
  </r>
  <r>
    <s v="6211-1"/>
    <d v="2016-02-20T00:00:00"/>
    <x v="3"/>
    <x v="48"/>
    <s v="29 Wellington Street, Perth"/>
    <s v="Melbourne"/>
    <x v="0"/>
    <x v="1"/>
    <x v="0"/>
    <x v="1"/>
    <x v="130"/>
    <x v="1"/>
    <s v="Small Box"/>
    <x v="0"/>
    <d v="2016-02-22T00:00:00"/>
    <n v="14.7"/>
    <n v="29.99"/>
    <n v="15.29"/>
    <n v="11"/>
    <n v="329.89"/>
    <n v="0.08"/>
    <n v="26.391199999999998"/>
    <n v="303.49879999999996"/>
    <n v="5.5"/>
    <n v="308.99879999999996"/>
  </r>
  <r>
    <s v="6213-1"/>
    <d v="2016-02-22T00:00:00"/>
    <x v="3"/>
    <x v="460"/>
    <s v="Macquarie Centre Cnr Herring Road &amp; Waterloo Road,Macquarie Park"/>
    <s v="Sydney"/>
    <x v="1"/>
    <x v="3"/>
    <x v="3"/>
    <x v="3"/>
    <x v="67"/>
    <x v="1"/>
    <s v="Jumbo Drum"/>
    <x v="2"/>
    <d v="2016-02-23T00:00:00"/>
    <n v="278.99"/>
    <n v="449.99"/>
    <n v="171"/>
    <n v="38"/>
    <n v="17099.62"/>
    <n v="0.01"/>
    <n v="170.99619999999999"/>
    <n v="16928.623799999998"/>
    <n v="49"/>
    <n v="16977.623799999998"/>
  </r>
  <r>
    <s v="6214-1"/>
    <d v="2016-02-23T00:00:00"/>
    <x v="3"/>
    <x v="461"/>
    <s v="Shop 3/144 Waterloo Road,Greenacre"/>
    <s v="Sydney"/>
    <x v="1"/>
    <x v="3"/>
    <x v="6"/>
    <x v="4"/>
    <x v="118"/>
    <x v="0"/>
    <s v="Small Box"/>
    <x v="0"/>
    <d v="2016-02-24T00:00:00"/>
    <n v="21.97"/>
    <n v="35.44"/>
    <n v="13.469999999999999"/>
    <n v="48"/>
    <n v="1701.12"/>
    <n v="0.08"/>
    <n v="136.08959999999999"/>
    <n v="1565.0303999999999"/>
    <n v="4.92"/>
    <n v="1569.9503999999999"/>
  </r>
  <r>
    <s v="6215-1"/>
    <d v="2016-02-26T00:00:00"/>
    <x v="3"/>
    <x v="322"/>
    <s v="359 Crown Street,Surry Hills"/>
    <s v="Sydney"/>
    <x v="1"/>
    <x v="2"/>
    <x v="4"/>
    <x v="2"/>
    <x v="69"/>
    <x v="0"/>
    <s v="Wrap Bag"/>
    <x v="0"/>
    <d v="2016-03-04T00:00:00"/>
    <n v="2.98"/>
    <n v="5.84"/>
    <n v="2.86"/>
    <n v="19"/>
    <n v="110.96"/>
    <n v="0.01"/>
    <n v="1.1095999999999999"/>
    <n v="109.85039999999999"/>
    <n v="0.83"/>
    <n v="110.68039999999999"/>
  </r>
  <r>
    <s v="6217-1"/>
    <d v="2016-02-29T00:00:00"/>
    <x v="3"/>
    <x v="252"/>
    <s v="8 Orange Street, Perth"/>
    <s v="Perth"/>
    <x v="2"/>
    <x v="3"/>
    <x v="4"/>
    <x v="4"/>
    <x v="8"/>
    <x v="0"/>
    <s v="Small Box"/>
    <x v="0"/>
    <d v="2016-02-29T00:00:00"/>
    <n v="54.29"/>
    <n v="90.48"/>
    <n v="36.190000000000005"/>
    <n v="16"/>
    <n v="1447.68"/>
    <n v="0"/>
    <n v="0"/>
    <n v="1447.68"/>
    <n v="19.989999999999998"/>
    <n v="1467.67"/>
  </r>
  <r>
    <s v="6219-1"/>
    <d v="2016-03-05T00:00:00"/>
    <x v="3"/>
    <x v="462"/>
    <s v="523 King St,Newtown"/>
    <s v="Sydney"/>
    <x v="1"/>
    <x v="0"/>
    <x v="9"/>
    <x v="2"/>
    <x v="103"/>
    <x v="0"/>
    <s v="Wrap Bag"/>
    <x v="0"/>
    <d v="2016-03-09T00:00:00"/>
    <n v="0.93"/>
    <n v="1.6"/>
    <n v="0.67"/>
    <n v="43"/>
    <n v="68.8"/>
    <n v="0.01"/>
    <n v="0.68799999999999994"/>
    <n v="68.111999999999995"/>
    <n v="1.29"/>
    <n v="69.402000000000001"/>
  </r>
  <r>
    <s v="6220-1"/>
    <d v="2016-03-06T00:00:00"/>
    <x v="3"/>
    <x v="21"/>
    <s v="188 Pitt Street,Sydney"/>
    <s v="Sydney"/>
    <x v="1"/>
    <x v="3"/>
    <x v="8"/>
    <x v="2"/>
    <x v="92"/>
    <x v="1"/>
    <s v="Small Box"/>
    <x v="0"/>
    <d v="2016-03-11T00:00:00"/>
    <n v="41.28"/>
    <n v="95.99"/>
    <n v="54.709999999999994"/>
    <n v="40"/>
    <n v="3839.6"/>
    <n v="0.05"/>
    <n v="191.98000000000002"/>
    <n v="3647.62"/>
    <n v="8.99"/>
    <n v="3656.6099999999997"/>
  </r>
  <r>
    <s v="6221-1"/>
    <d v="2016-03-06T00:00:00"/>
    <x v="3"/>
    <x v="463"/>
    <s v="211/25-29 Dixon St,Haymarket"/>
    <s v="Sydney"/>
    <x v="1"/>
    <x v="1"/>
    <x v="12"/>
    <x v="3"/>
    <x v="142"/>
    <x v="0"/>
    <s v="Small Box"/>
    <x v="1"/>
    <d v="2016-03-07T00:00:00"/>
    <n v="3.99"/>
    <n v="6.23"/>
    <n v="2.2400000000000002"/>
    <n v="33"/>
    <n v="205.59"/>
    <n v="0.08"/>
    <n v="16.447200000000002"/>
    <n v="189.14279999999999"/>
    <n v="6.97"/>
    <n v="196.11279999999999"/>
  </r>
  <r>
    <s v="6222-1"/>
    <d v="2016-03-07T00:00:00"/>
    <x v="3"/>
    <x v="89"/>
    <s v="Macquarie Centre Cnr Herring Road &amp; Waterloo Road,Macquarie Park"/>
    <s v="Sydney"/>
    <x v="1"/>
    <x v="0"/>
    <x v="3"/>
    <x v="4"/>
    <x v="96"/>
    <x v="0"/>
    <s v="Small Pack"/>
    <x v="0"/>
    <d v="2016-03-08T00:00:00"/>
    <n v="16.8"/>
    <n v="40.97"/>
    <n v="24.169999999999998"/>
    <n v="14"/>
    <n v="573.57999999999993"/>
    <n v="0"/>
    <n v="0"/>
    <n v="573.57999999999993"/>
    <n v="8.99"/>
    <n v="582.56999999999994"/>
  </r>
  <r>
    <s v="6223-1"/>
    <d v="2016-03-09T00:00:00"/>
    <x v="3"/>
    <x v="464"/>
    <s v="60 Commercial Rd,Prahran"/>
    <s v="Melbourne"/>
    <x v="0"/>
    <x v="1"/>
    <x v="0"/>
    <x v="4"/>
    <x v="23"/>
    <x v="1"/>
    <s v="Small Box"/>
    <x v="0"/>
    <d v="2016-03-10T00:00:00"/>
    <n v="6.39"/>
    <n v="19.98"/>
    <n v="13.59"/>
    <n v="39"/>
    <n v="779.22"/>
    <n v="0.05"/>
    <n v="38.961000000000006"/>
    <n v="740.25900000000001"/>
    <n v="4"/>
    <n v="744.25900000000001"/>
  </r>
  <r>
    <s v="6224-1"/>
    <d v="2016-03-11T00:00:00"/>
    <x v="3"/>
    <x v="195"/>
    <s v="21 Wentworth St,Parramatta"/>
    <s v="Sydney"/>
    <x v="1"/>
    <x v="3"/>
    <x v="9"/>
    <x v="4"/>
    <x v="90"/>
    <x v="0"/>
    <s v="Small Box"/>
    <x v="0"/>
    <d v="2016-03-13T00:00:00"/>
    <n v="14.95"/>
    <n v="34.76"/>
    <n v="19.809999999999999"/>
    <n v="27"/>
    <n v="938.52"/>
    <n v="0.1"/>
    <n v="93.852000000000004"/>
    <n v="844.66800000000001"/>
    <n v="8.2200000000000006"/>
    <n v="852.88800000000003"/>
  </r>
  <r>
    <s v="6225-1"/>
    <d v="2016-03-12T00:00:00"/>
    <x v="3"/>
    <x v="409"/>
    <s v="53 Riley Street,Woolloomooloo"/>
    <s v="Sydney"/>
    <x v="1"/>
    <x v="0"/>
    <x v="8"/>
    <x v="4"/>
    <x v="139"/>
    <x v="0"/>
    <s v="Wrap Bag"/>
    <x v="0"/>
    <d v="2016-03-12T00:00:00"/>
    <n v="0.94"/>
    <n v="1.88"/>
    <n v="0.94"/>
    <n v="36"/>
    <n v="67.679999999999993"/>
    <n v="0.04"/>
    <n v="2.7071999999999998"/>
    <n v="64.972799999999992"/>
    <n v="0.79"/>
    <n v="65.762799999999999"/>
  </r>
  <r>
    <s v="6226-1"/>
    <d v="2016-03-12T00:00:00"/>
    <x v="3"/>
    <x v="117"/>
    <s v="15 Aberdeen Street, Perth"/>
    <s v="Sydney"/>
    <x v="1"/>
    <x v="1"/>
    <x v="4"/>
    <x v="2"/>
    <x v="103"/>
    <x v="0"/>
    <s v="Wrap Bag"/>
    <x v="0"/>
    <d v="2016-03-17T00:00:00"/>
    <n v="0.93"/>
    <n v="1.6"/>
    <n v="0.67"/>
    <n v="40"/>
    <n v="64"/>
    <n v="0.01"/>
    <n v="0.64"/>
    <n v="63.36"/>
    <n v="1.29"/>
    <n v="64.650000000000006"/>
  </r>
  <r>
    <s v="6227-1"/>
    <d v="2016-03-14T00:00:00"/>
    <x v="3"/>
    <x v="465"/>
    <s v="359 Crown Street,Surry Hills"/>
    <s v="Sydney"/>
    <x v="1"/>
    <x v="0"/>
    <x v="4"/>
    <x v="2"/>
    <x v="44"/>
    <x v="0"/>
    <s v="Small Box"/>
    <x v="0"/>
    <d v="2016-03-18T00:00:00"/>
    <n v="12.39"/>
    <n v="19.98"/>
    <n v="7.59"/>
    <n v="47"/>
    <n v="939.06000000000006"/>
    <n v="0"/>
    <n v="0"/>
    <n v="939.06000000000006"/>
    <n v="5.77"/>
    <n v="944.83"/>
  </r>
  <r>
    <s v="6228-1"/>
    <d v="2016-03-17T00:00:00"/>
    <x v="3"/>
    <x v="12"/>
    <s v="98-104 Parramatta Rd,Camperdown"/>
    <s v="Sydney"/>
    <x v="1"/>
    <x v="2"/>
    <x v="4"/>
    <x v="1"/>
    <x v="32"/>
    <x v="0"/>
    <s v="Wrap Bag"/>
    <x v="0"/>
    <d v="2016-03-19T00:00:00"/>
    <n v="21.56"/>
    <n v="36.549999999999997"/>
    <n v="14.989999999999998"/>
    <n v="2"/>
    <n v="73.099999999999994"/>
    <n v="0.03"/>
    <n v="2.1929999999999996"/>
    <n v="70.906999999999996"/>
    <n v="13.89"/>
    <n v="84.796999999999997"/>
  </r>
  <r>
    <s v="6228-1"/>
    <d v="2016-03-17T00:00:00"/>
    <x v="3"/>
    <x v="261"/>
    <s v="834 Bourke St,Waterloo"/>
    <s v="Sydney"/>
    <x v="1"/>
    <x v="1"/>
    <x v="10"/>
    <x v="1"/>
    <x v="65"/>
    <x v="0"/>
    <s v="Wrap Bag"/>
    <x v="0"/>
    <d v="2016-03-20T00:00:00"/>
    <n v="0.24"/>
    <n v="1.26"/>
    <n v="1.02"/>
    <n v="47"/>
    <n v="59.22"/>
    <n v="7.0000000000000007E-2"/>
    <n v="4.1454000000000004"/>
    <n v="55.074599999999997"/>
    <n v="0.7"/>
    <n v="55.7746"/>
  </r>
  <r>
    <s v="6230-1"/>
    <d v="2016-03-17T00:00:00"/>
    <x v="3"/>
    <x v="466"/>
    <s v="Crown Complex,Southbank"/>
    <s v="Melbourne"/>
    <x v="0"/>
    <x v="3"/>
    <x v="0"/>
    <x v="4"/>
    <x v="29"/>
    <x v="1"/>
    <s v="Small Pack"/>
    <x v="1"/>
    <d v="2016-03-18T00:00:00"/>
    <n v="1.87"/>
    <n v="8.1199999999999992"/>
    <n v="6.2499999999999991"/>
    <n v="37"/>
    <n v="300.44"/>
    <n v="0.01"/>
    <n v="3.0044"/>
    <n v="297.43560000000002"/>
    <n v="2.83"/>
    <n v="300.26560000000001"/>
  </r>
  <r>
    <s v="6231-1"/>
    <d v="2016-03-18T00:00:00"/>
    <x v="3"/>
    <x v="463"/>
    <s v="211/25-29 Dixon St,Haymarket"/>
    <s v="Sydney"/>
    <x v="1"/>
    <x v="1"/>
    <x v="12"/>
    <x v="2"/>
    <x v="131"/>
    <x v="0"/>
    <s v="Small Box"/>
    <x v="0"/>
    <d v="2016-03-23T00:00:00"/>
    <n v="1.84"/>
    <n v="2.88"/>
    <n v="1.0399999999999998"/>
    <n v="18"/>
    <n v="51.839999999999996"/>
    <n v="0.02"/>
    <n v="1.0367999999999999"/>
    <n v="50.803199999999997"/>
    <n v="5.33"/>
    <n v="56.133199999999995"/>
  </r>
  <r>
    <s v="6232-1"/>
    <d v="2016-03-18T00:00:00"/>
    <x v="3"/>
    <x v="467"/>
    <s v="499-501 Lygon Street,Carlton North"/>
    <s v="Melbourne"/>
    <x v="0"/>
    <x v="0"/>
    <x v="0"/>
    <x v="0"/>
    <x v="35"/>
    <x v="0"/>
    <s v="Wrap Bag"/>
    <x v="0"/>
    <d v="2016-03-18T00:00:00"/>
    <n v="3.75"/>
    <n v="7.08"/>
    <n v="3.33"/>
    <n v="16"/>
    <n v="113.28"/>
    <n v="0.02"/>
    <n v="2.2656000000000001"/>
    <n v="111.01439999999999"/>
    <n v="2.35"/>
    <n v="113.36439999999999"/>
  </r>
  <r>
    <s v="6234-1"/>
    <d v="2016-03-20T00:00:00"/>
    <x v="3"/>
    <x v="468"/>
    <s v="3 Orwell St,Potts Point"/>
    <s v="Sydney"/>
    <x v="1"/>
    <x v="1"/>
    <x v="2"/>
    <x v="3"/>
    <x v="52"/>
    <x v="0"/>
    <s v="Wrap Bag"/>
    <x v="0"/>
    <d v="2016-03-22T00:00:00"/>
    <n v="2.9"/>
    <n v="4.76"/>
    <n v="1.8599999999999999"/>
    <n v="23"/>
    <n v="109.47999999999999"/>
    <n v="0.05"/>
    <n v="5.4740000000000002"/>
    <n v="104.00599999999999"/>
    <n v="0.88"/>
    <n v="104.88599999999998"/>
  </r>
  <r>
    <s v="6235-1"/>
    <d v="2016-03-21T00:00:00"/>
    <x v="3"/>
    <x v="469"/>
    <s v="412 Brunswick St,Fitzroy"/>
    <s v="Melbourne"/>
    <x v="0"/>
    <x v="1"/>
    <x v="1"/>
    <x v="4"/>
    <x v="30"/>
    <x v="1"/>
    <s v="Medium Box"/>
    <x v="0"/>
    <d v="2016-03-22T00:00:00"/>
    <n v="8.82"/>
    <n v="20.99"/>
    <n v="12.169999999999998"/>
    <n v="2"/>
    <n v="41.98"/>
    <n v="7.0000000000000007E-2"/>
    <n v="2.9386000000000001"/>
    <n v="39.041399999999996"/>
    <n v="4.8099999999999996"/>
    <n v="43.851399999999998"/>
  </r>
  <r>
    <s v="6237-1"/>
    <d v="2016-03-25T00:00:00"/>
    <x v="3"/>
    <x v="147"/>
    <s v="Crown Complex,Southbank"/>
    <s v="Melbourne"/>
    <x v="0"/>
    <x v="1"/>
    <x v="1"/>
    <x v="3"/>
    <x v="108"/>
    <x v="0"/>
    <s v="Wrap Bag"/>
    <x v="0"/>
    <d v="2016-03-25T00:00:00"/>
    <n v="2.31"/>
    <n v="3.78"/>
    <n v="1.4699999999999998"/>
    <n v="28"/>
    <n v="105.83999999999999"/>
    <n v="0"/>
    <n v="0"/>
    <n v="105.83999999999999"/>
    <n v="0.71"/>
    <n v="106.54999999999998"/>
  </r>
  <r>
    <s v="6238-1"/>
    <d v="2016-03-26T00:00:00"/>
    <x v="3"/>
    <x v="470"/>
    <s v="2a/285A Crown St,Surry Hills"/>
    <s v="Sydney"/>
    <x v="1"/>
    <x v="1"/>
    <x v="4"/>
    <x v="2"/>
    <x v="89"/>
    <x v="0"/>
    <s v="Small Pack"/>
    <x v="0"/>
    <d v="2016-03-28T00:00:00"/>
    <n v="2.5"/>
    <n v="5.68"/>
    <n v="3.1799999999999997"/>
    <n v="45"/>
    <n v="255.6"/>
    <n v="0.01"/>
    <n v="2.556"/>
    <n v="253.04399999999998"/>
    <n v="3.6"/>
    <n v="256.64400000000001"/>
  </r>
  <r>
    <s v="6240-1"/>
    <d v="2016-03-26T00:00:00"/>
    <x v="3"/>
    <x v="457"/>
    <s v="10 Lake Street"/>
    <s v="Perth"/>
    <x v="2"/>
    <x v="3"/>
    <x v="4"/>
    <x v="1"/>
    <x v="22"/>
    <x v="0"/>
    <s v="Small Box"/>
    <x v="0"/>
    <d v="2016-03-28T00:00:00"/>
    <n v="1.59"/>
    <n v="2.61"/>
    <n v="1.0199999999999998"/>
    <n v="8"/>
    <n v="20.88"/>
    <n v="0.02"/>
    <n v="0.41759999999999997"/>
    <n v="20.462399999999999"/>
    <n v="0.5"/>
    <n v="20.962399999999999"/>
  </r>
  <r>
    <s v="6242-1"/>
    <d v="2016-03-27T00:00:00"/>
    <x v="3"/>
    <x v="256"/>
    <s v="10 Bligh St,Melbourne"/>
    <s v="Melbourne"/>
    <x v="0"/>
    <x v="2"/>
    <x v="1"/>
    <x v="0"/>
    <x v="67"/>
    <x v="1"/>
    <s v="Large Box"/>
    <x v="0"/>
    <d v="2016-03-28T00:00:00"/>
    <n v="216"/>
    <n v="449.99"/>
    <n v="233.99"/>
    <n v="49"/>
    <n v="22049.510000000002"/>
    <n v="0.06"/>
    <n v="1322.9706000000001"/>
    <n v="20726.539400000001"/>
    <n v="24.49"/>
    <n v="20751.029400000003"/>
  </r>
  <r>
    <s v="6243-1"/>
    <d v="2016-03-27T00:00:00"/>
    <x v="3"/>
    <x v="471"/>
    <s v="33/4 Barangaroo Avenue,Sydney"/>
    <s v="Sydney"/>
    <x v="1"/>
    <x v="0"/>
    <x v="5"/>
    <x v="2"/>
    <x v="3"/>
    <x v="1"/>
    <s v="Jumbo Drum"/>
    <x v="2"/>
    <d v="2016-04-03T00:00:00"/>
    <n v="75"/>
    <n v="120.97"/>
    <n v="45.97"/>
    <n v="42"/>
    <n v="5080.74"/>
    <n v="0"/>
    <n v="0"/>
    <n v="5080.74"/>
    <n v="26.3"/>
    <n v="5107.04"/>
  </r>
  <r>
    <s v="6244-1"/>
    <d v="2016-03-29T00:00:00"/>
    <x v="3"/>
    <x v="438"/>
    <s v="6/15 Cross Street,Double Bay"/>
    <s v="Sydney"/>
    <x v="1"/>
    <x v="1"/>
    <x v="2"/>
    <x v="1"/>
    <x v="85"/>
    <x v="0"/>
    <s v="Small Pack"/>
    <x v="0"/>
    <d v="2016-03-30T00:00:00"/>
    <n v="5.19"/>
    <n v="12.98"/>
    <n v="7.79"/>
    <n v="45"/>
    <n v="584.1"/>
    <n v="0.05"/>
    <n v="29.205000000000002"/>
    <n v="554.89499999999998"/>
    <n v="3.14"/>
    <n v="558.03499999999997"/>
  </r>
  <r>
    <s v="6246-1"/>
    <d v="2016-03-29T00:00:00"/>
    <x v="3"/>
    <x v="472"/>
    <s v="60 Commercial Rd,Prahran"/>
    <s v="Melbourne"/>
    <x v="0"/>
    <x v="1"/>
    <x v="0"/>
    <x v="2"/>
    <x v="73"/>
    <x v="0"/>
    <s v="Small Box"/>
    <x v="0"/>
    <d v="2016-03-31T00:00:00"/>
    <n v="1.94"/>
    <n v="3.08"/>
    <n v="1.1400000000000001"/>
    <n v="42"/>
    <n v="129.36000000000001"/>
    <n v="0.09"/>
    <n v="11.6424"/>
    <n v="117.71760000000002"/>
    <n v="0.99"/>
    <n v="118.70760000000001"/>
  </r>
  <r>
    <s v="6248-1"/>
    <d v="2016-03-30T00:00:00"/>
    <x v="3"/>
    <x v="473"/>
    <s v="188 Pitt Street,Sydney"/>
    <s v="Sydney"/>
    <x v="1"/>
    <x v="1"/>
    <x v="8"/>
    <x v="3"/>
    <x v="19"/>
    <x v="0"/>
    <s v="Small Pack"/>
    <x v="0"/>
    <d v="2016-03-31T00:00:00"/>
    <n v="0.94"/>
    <n v="2.08"/>
    <n v="1.1400000000000001"/>
    <n v="2"/>
    <n v="4.16"/>
    <n v="0.01"/>
    <n v="4.1600000000000005E-2"/>
    <n v="4.1184000000000003"/>
    <n v="2.56"/>
    <n v="6.6783999999999999"/>
  </r>
  <r>
    <s v="6250-1"/>
    <d v="2016-04-02T00:00:00"/>
    <x v="3"/>
    <x v="474"/>
    <s v="152 Bunnerong Road,Eastgardens"/>
    <s v="Sydney"/>
    <x v="1"/>
    <x v="1"/>
    <x v="8"/>
    <x v="2"/>
    <x v="31"/>
    <x v="0"/>
    <s v="Small Box"/>
    <x v="0"/>
    <d v="2016-04-10T00:00:00"/>
    <n v="13.88"/>
    <n v="22.38"/>
    <n v="8.4999999999999982"/>
    <n v="16"/>
    <n v="358.08"/>
    <n v="0.09"/>
    <n v="32.227199999999996"/>
    <n v="325.8528"/>
    <n v="15.1"/>
    <n v="340.95280000000002"/>
  </r>
  <r>
    <s v="6252-1"/>
    <d v="2016-04-03T00:00:00"/>
    <x v="3"/>
    <x v="17"/>
    <s v="188 Pitt Street,Sydney"/>
    <s v="Sydney"/>
    <x v="1"/>
    <x v="3"/>
    <x v="8"/>
    <x v="2"/>
    <x v="65"/>
    <x v="0"/>
    <s v="Wrap Bag"/>
    <x v="1"/>
    <d v="2016-04-03T00:00:00"/>
    <n v="0.24"/>
    <n v="1.26"/>
    <n v="1.02"/>
    <n v="40"/>
    <n v="50.4"/>
    <n v="0.04"/>
    <n v="2.016"/>
    <n v="48.384"/>
    <n v="0.7"/>
    <n v="49.084000000000003"/>
  </r>
  <r>
    <s v="6254-1"/>
    <d v="2016-04-05T00:00:00"/>
    <x v="3"/>
    <x v="475"/>
    <s v="Sydney Fish Market, Bank Street, Sydney"/>
    <s v="Sydney"/>
    <x v="1"/>
    <x v="2"/>
    <x v="4"/>
    <x v="2"/>
    <x v="107"/>
    <x v="0"/>
    <s v="Small Pack"/>
    <x v="0"/>
    <d v="2016-04-11T00:00:00"/>
    <n v="4.0999999999999996"/>
    <n v="9.31"/>
    <n v="5.2100000000000009"/>
    <n v="35"/>
    <n v="325.85000000000002"/>
    <n v="0.05"/>
    <n v="16.2925"/>
    <n v="309.5575"/>
    <n v="3.98"/>
    <n v="313.53750000000002"/>
  </r>
  <r>
    <s v="6256-1"/>
    <d v="2016-04-06T00:00:00"/>
    <x v="3"/>
    <x v="476"/>
    <s v="14 Money Street"/>
    <s v="Perth"/>
    <x v="2"/>
    <x v="0"/>
    <x v="4"/>
    <x v="3"/>
    <x v="76"/>
    <x v="0"/>
    <s v="Wrap Bag"/>
    <x v="0"/>
    <d v="2016-04-08T00:00:00"/>
    <n v="1.53"/>
    <n v="2.78"/>
    <n v="1.2499999999999998"/>
    <n v="10"/>
    <n v="27.799999999999997"/>
    <n v="0.01"/>
    <n v="0.27799999999999997"/>
    <n v="27.521999999999998"/>
    <n v="1.34"/>
    <n v="28.861999999999998"/>
  </r>
  <r>
    <s v="6257-1"/>
    <d v="2016-04-10T00:00:00"/>
    <x v="3"/>
    <x v="345"/>
    <s v="21 Wentworth St,Parramatta"/>
    <s v="Sydney"/>
    <x v="1"/>
    <x v="3"/>
    <x v="9"/>
    <x v="1"/>
    <x v="23"/>
    <x v="1"/>
    <s v="Small Box"/>
    <x v="0"/>
    <d v="2016-04-12T00:00:00"/>
    <n v="6.39"/>
    <n v="19.98"/>
    <n v="13.59"/>
    <n v="35"/>
    <n v="699.30000000000007"/>
    <n v="0.1"/>
    <n v="69.930000000000007"/>
    <n v="629.37000000000012"/>
    <n v="4"/>
    <n v="633.37000000000012"/>
  </r>
  <r>
    <s v="6258-1"/>
    <d v="2016-04-11T00:00:00"/>
    <x v="3"/>
    <x v="27"/>
    <s v="1/20 Pendal Lane, Perth"/>
    <s v="Sydney"/>
    <x v="1"/>
    <x v="1"/>
    <x v="10"/>
    <x v="3"/>
    <x v="142"/>
    <x v="0"/>
    <s v="Small Box"/>
    <x v="0"/>
    <d v="2016-04-13T00:00:00"/>
    <n v="3.99"/>
    <n v="6.23"/>
    <n v="2.2400000000000002"/>
    <n v="21"/>
    <n v="130.83000000000001"/>
    <n v="0.05"/>
    <n v="6.541500000000001"/>
    <n v="124.28850000000001"/>
    <n v="6.97"/>
    <n v="131.25850000000003"/>
  </r>
  <r>
    <s v="6260-1"/>
    <d v="2016-04-11T00:00:00"/>
    <x v="3"/>
    <x v="82"/>
    <s v="6 Brookman Street, Perth"/>
    <s v="Melbourne"/>
    <x v="0"/>
    <x v="1"/>
    <x v="1"/>
    <x v="1"/>
    <x v="133"/>
    <x v="0"/>
    <s v="Wrap Bag"/>
    <x v="0"/>
    <d v="2016-04-11T00:00:00"/>
    <n v="0.92"/>
    <n v="1.81"/>
    <n v="0.89"/>
    <n v="22"/>
    <n v="39.82"/>
    <n v="0.09"/>
    <n v="3.5838000000000001"/>
    <n v="36.236199999999997"/>
    <n v="1.56"/>
    <n v="37.796199999999999"/>
  </r>
  <r>
    <s v="6261-1"/>
    <d v="2016-04-11T00:00:00"/>
    <x v="3"/>
    <x v="477"/>
    <s v="Westfield 1 Anderson St,Chatswood"/>
    <s v="Sydney"/>
    <x v="1"/>
    <x v="0"/>
    <x v="3"/>
    <x v="0"/>
    <x v="1"/>
    <x v="0"/>
    <s v="Wrap Bag"/>
    <x v="1"/>
    <d v="2016-04-12T00:00:00"/>
    <n v="2.39"/>
    <n v="4.26"/>
    <n v="1.8699999999999997"/>
    <n v="34"/>
    <n v="144.84"/>
    <n v="0.03"/>
    <n v="4.3452000000000002"/>
    <n v="140.4948"/>
    <n v="1.2"/>
    <n v="141.69479999999999"/>
  </r>
  <r>
    <s v="6263-1"/>
    <d v="2016-04-13T00:00:00"/>
    <x v="3"/>
    <x v="275"/>
    <s v="99 Lygon Street,East Brunswick"/>
    <s v="Melbourne"/>
    <x v="0"/>
    <x v="1"/>
    <x v="1"/>
    <x v="1"/>
    <x v="67"/>
    <x v="1"/>
    <s v="Jumbo Drum"/>
    <x v="2"/>
    <d v="2016-04-15T00:00:00"/>
    <n v="278.99"/>
    <n v="449.99"/>
    <n v="171"/>
    <n v="43"/>
    <n v="19349.57"/>
    <n v="0.06"/>
    <n v="1160.9741999999999"/>
    <n v="18188.595799999999"/>
    <n v="49"/>
    <n v="18237.595799999999"/>
  </r>
  <r>
    <s v="6264-1"/>
    <d v="2016-04-17T00:00:00"/>
    <x v="3"/>
    <x v="143"/>
    <s v="Sydney Fish Market, Bank Street, Sydney"/>
    <s v="Sydney"/>
    <x v="1"/>
    <x v="2"/>
    <x v="4"/>
    <x v="2"/>
    <x v="121"/>
    <x v="0"/>
    <s v="Wrap Bag"/>
    <x v="0"/>
    <d v="2016-04-19T00:00:00"/>
    <n v="1.05"/>
    <n v="1.95"/>
    <n v="0.89999999999999991"/>
    <n v="23"/>
    <n v="44.85"/>
    <n v="0.09"/>
    <n v="4.0365000000000002"/>
    <n v="40.813500000000005"/>
    <n v="1.63"/>
    <n v="42.443500000000007"/>
  </r>
  <r>
    <s v="6266-1"/>
    <d v="2016-04-18T00:00:00"/>
    <x v="3"/>
    <x v="478"/>
    <s v="79 Elliott St,Balmain"/>
    <s v="Sydney"/>
    <x v="1"/>
    <x v="1"/>
    <x v="9"/>
    <x v="4"/>
    <x v="84"/>
    <x v="2"/>
    <s v="Large Box"/>
    <x v="0"/>
    <d v="2016-04-19T00:00:00"/>
    <n v="56.16"/>
    <n v="136.97999999999999"/>
    <n v="80.819999999999993"/>
    <n v="14"/>
    <n v="1917.7199999999998"/>
    <n v="0"/>
    <n v="0"/>
    <n v="1917.7199999999998"/>
    <n v="24.49"/>
    <n v="1942.2099999999998"/>
  </r>
  <r>
    <s v="6266-2"/>
    <d v="2016-04-18T00:00:00"/>
    <x v="3"/>
    <x v="478"/>
    <s v="79 Elliott St,Balmain"/>
    <s v="Sydney"/>
    <x v="1"/>
    <x v="1"/>
    <x v="9"/>
    <x v="4"/>
    <x v="81"/>
    <x v="0"/>
    <s v="Wrap Bag"/>
    <x v="0"/>
    <d v="2016-04-20T00:00:00"/>
    <n v="0.93"/>
    <n v="1.48"/>
    <n v="0.54999999999999993"/>
    <n v="3"/>
    <n v="4.4399999999999995"/>
    <n v="0.1"/>
    <n v="0.44399999999999995"/>
    <n v="3.9959999999999996"/>
    <n v="0.7"/>
    <n v="4.6959999999999997"/>
  </r>
  <r>
    <s v="6269-1"/>
    <d v="2016-04-23T00:00:00"/>
    <x v="3"/>
    <x v="294"/>
    <s v="101 Murray Street"/>
    <s v="Perth"/>
    <x v="2"/>
    <x v="1"/>
    <x v="8"/>
    <x v="3"/>
    <x v="65"/>
    <x v="0"/>
    <s v="Wrap Bag"/>
    <x v="0"/>
    <d v="2016-04-24T00:00:00"/>
    <n v="0.24"/>
    <n v="1.26"/>
    <n v="1.02"/>
    <n v="11"/>
    <n v="13.86"/>
    <n v="0"/>
    <n v="0"/>
    <n v="13.86"/>
    <n v="0.7"/>
    <n v="14.559999999999999"/>
  </r>
  <r>
    <s v="6270-1"/>
    <d v="2016-04-23T00:00:00"/>
    <x v="3"/>
    <x v="479"/>
    <s v="541 Church St,Richmond"/>
    <s v="Melbourne"/>
    <x v="0"/>
    <x v="0"/>
    <x v="0"/>
    <x v="3"/>
    <x v="32"/>
    <x v="0"/>
    <s v="Wrap Bag"/>
    <x v="0"/>
    <d v="2016-04-25T00:00:00"/>
    <n v="21.56"/>
    <n v="36.549999999999997"/>
    <n v="14.989999999999998"/>
    <n v="17"/>
    <n v="621.34999999999991"/>
    <n v="0.09"/>
    <n v="55.921499999999988"/>
    <n v="565.42849999999987"/>
    <n v="13.89"/>
    <n v="579.31849999999986"/>
  </r>
  <r>
    <s v="6272-1"/>
    <d v="2016-04-23T00:00:00"/>
    <x v="3"/>
    <x v="356"/>
    <s v="222 Barkly St,St Kilda"/>
    <s v="Melbourne"/>
    <x v="0"/>
    <x v="2"/>
    <x v="0"/>
    <x v="3"/>
    <x v="16"/>
    <x v="0"/>
    <s v="Wrap Bag"/>
    <x v="0"/>
    <d v="2016-04-24T00:00:00"/>
    <n v="1.82"/>
    <n v="2.98"/>
    <n v="1.1599999999999999"/>
    <n v="32"/>
    <n v="95.36"/>
    <n v="0.01"/>
    <n v="0.9536"/>
    <n v="94.406400000000005"/>
    <n v="1.58"/>
    <n v="95.986400000000003"/>
  </r>
  <r>
    <s v="6273-1"/>
    <d v="2016-04-24T00:00:00"/>
    <x v="3"/>
    <x v="480"/>
    <s v="Sydney Fish Market, Bank Street, Sydney"/>
    <s v="Sydney"/>
    <x v="1"/>
    <x v="0"/>
    <x v="4"/>
    <x v="0"/>
    <x v="83"/>
    <x v="0"/>
    <s v="Small Box"/>
    <x v="0"/>
    <d v="2016-04-26T00:00:00"/>
    <n v="2.1800000000000002"/>
    <n v="3.52"/>
    <n v="1.3399999999999999"/>
    <n v="32"/>
    <n v="112.64"/>
    <n v="7.0000000000000007E-2"/>
    <n v="7.8848000000000011"/>
    <n v="104.7552"/>
    <n v="6.83"/>
    <n v="111.5852"/>
  </r>
  <r>
    <s v="6274-1"/>
    <d v="2016-04-25T00:00:00"/>
    <x v="3"/>
    <x v="312"/>
    <s v="6/15 Cross Street,Double Bay"/>
    <s v="Sydney"/>
    <x v="1"/>
    <x v="0"/>
    <x v="2"/>
    <x v="3"/>
    <x v="25"/>
    <x v="1"/>
    <s v="Small Box"/>
    <x v="0"/>
    <d v="2016-04-26T00:00:00"/>
    <n v="8.31"/>
    <n v="15.98"/>
    <n v="7.67"/>
    <n v="18"/>
    <n v="287.64"/>
    <n v="0.1"/>
    <n v="28.763999999999999"/>
    <n v="258.87599999999998"/>
    <n v="6.5"/>
    <n v="265.37599999999998"/>
  </r>
  <r>
    <s v="6275-1"/>
    <d v="2016-04-25T00:00:00"/>
    <x v="3"/>
    <x v="481"/>
    <s v="Westfield Sydney,Sydney"/>
    <s v="Sydney"/>
    <x v="1"/>
    <x v="2"/>
    <x v="5"/>
    <x v="4"/>
    <x v="47"/>
    <x v="0"/>
    <s v="Wrap Bag"/>
    <x v="0"/>
    <d v="2016-04-27T00:00:00"/>
    <n v="3.48"/>
    <n v="5.43"/>
    <n v="1.9499999999999997"/>
    <n v="37"/>
    <n v="200.91"/>
    <n v="0.09"/>
    <n v="18.081899999999997"/>
    <n v="182.82810000000001"/>
    <n v="0.95"/>
    <n v="183.77809999999999"/>
  </r>
  <r>
    <s v="6276-1"/>
    <d v="2016-04-27T00:00:00"/>
    <x v="3"/>
    <x v="482"/>
    <s v="Crown Complex,Southbank"/>
    <s v="Melbourne"/>
    <x v="0"/>
    <x v="2"/>
    <x v="0"/>
    <x v="0"/>
    <x v="43"/>
    <x v="0"/>
    <s v="Small Box"/>
    <x v="0"/>
    <d v="2016-04-28T00:00:00"/>
    <n v="2.25"/>
    <n v="3.69"/>
    <n v="1.44"/>
    <n v="46"/>
    <n v="169.74"/>
    <n v="0.04"/>
    <n v="6.7896000000000001"/>
    <n v="162.9504"/>
    <n v="2.5"/>
    <n v="165.4504"/>
  </r>
  <r>
    <s v="6278-1"/>
    <d v="2016-05-01T00:00:00"/>
    <x v="3"/>
    <x v="424"/>
    <s v="32/82 King Street"/>
    <s v="Perth"/>
    <x v="2"/>
    <x v="2"/>
    <x v="11"/>
    <x v="3"/>
    <x v="75"/>
    <x v="0"/>
    <s v="Small Box"/>
    <x v="0"/>
    <d v="2016-05-03T00:00:00"/>
    <n v="1.84"/>
    <n v="2.88"/>
    <n v="1.0399999999999998"/>
    <n v="45"/>
    <n v="129.6"/>
    <n v="0.02"/>
    <n v="2.5920000000000001"/>
    <n v="127.008"/>
    <n v="1.49"/>
    <n v="128.49799999999999"/>
  </r>
  <r>
    <s v="6278-2"/>
    <d v="2016-05-01T00:00:00"/>
    <x v="3"/>
    <x v="424"/>
    <s v="32/82 King Street"/>
    <s v="Perth"/>
    <x v="2"/>
    <x v="2"/>
    <x v="11"/>
    <x v="3"/>
    <x v="71"/>
    <x v="0"/>
    <s v="Small Box"/>
    <x v="0"/>
    <d v="2016-05-02T00:00:00"/>
    <n v="4.46"/>
    <n v="10.89"/>
    <n v="6.4300000000000006"/>
    <n v="39"/>
    <n v="424.71000000000004"/>
    <n v="0.06"/>
    <n v="25.482600000000001"/>
    <n v="399.22740000000005"/>
    <n v="4.5"/>
    <n v="403.72740000000005"/>
  </r>
  <r>
    <s v="6280-1"/>
    <d v="2016-05-02T00:00:00"/>
    <x v="3"/>
    <x v="313"/>
    <s v="221 Barkly St,St Kilda"/>
    <s v="Melbourne"/>
    <x v="0"/>
    <x v="0"/>
    <x v="0"/>
    <x v="0"/>
    <x v="36"/>
    <x v="2"/>
    <s v="Small Pack"/>
    <x v="0"/>
    <d v="2016-05-04T00:00:00"/>
    <n v="5.5"/>
    <n v="12.22"/>
    <n v="6.7200000000000006"/>
    <n v="46"/>
    <n v="562.12"/>
    <n v="0.06"/>
    <n v="33.727199999999996"/>
    <n v="528.39279999999997"/>
    <n v="2.85"/>
    <n v="531.24279999999999"/>
  </r>
  <r>
    <s v="6280-2"/>
    <d v="2016-05-02T00:00:00"/>
    <x v="3"/>
    <x v="313"/>
    <s v="221 Barkly St,St Kilda"/>
    <s v="Melbourne"/>
    <x v="0"/>
    <x v="0"/>
    <x v="0"/>
    <x v="0"/>
    <x v="77"/>
    <x v="0"/>
    <s v="Small Box"/>
    <x v="0"/>
    <d v="2016-05-03T00:00:00"/>
    <n v="2.2599999999999998"/>
    <n v="3.58"/>
    <n v="1.3200000000000003"/>
    <n v="8"/>
    <n v="28.64"/>
    <n v="0.09"/>
    <n v="2.5775999999999999"/>
    <n v="26.0624"/>
    <n v="5.47"/>
    <n v="31.532399999999999"/>
  </r>
  <r>
    <s v="6281-1"/>
    <d v="2016-05-02T00:00:00"/>
    <x v="3"/>
    <x v="68"/>
    <s v="240-242 Johnston Street,Fitzroy"/>
    <s v="Melbourne"/>
    <x v="0"/>
    <x v="2"/>
    <x v="1"/>
    <x v="3"/>
    <x v="89"/>
    <x v="0"/>
    <s v="Small Pack"/>
    <x v="0"/>
    <d v="2016-05-03T00:00:00"/>
    <n v="2.5"/>
    <n v="5.68"/>
    <n v="3.1799999999999997"/>
    <n v="25"/>
    <n v="142"/>
    <n v="0.1"/>
    <n v="14.200000000000001"/>
    <n v="127.8"/>
    <n v="3.6"/>
    <n v="131.4"/>
  </r>
  <r>
    <s v="6285-1"/>
    <d v="2016-05-05T00:00:00"/>
    <x v="3"/>
    <x v="483"/>
    <s v="310 Wattle St,Ultimo"/>
    <s v="Sydney"/>
    <x v="1"/>
    <x v="0"/>
    <x v="9"/>
    <x v="4"/>
    <x v="0"/>
    <x v="0"/>
    <s v="Small Box"/>
    <x v="0"/>
    <d v="2016-05-07T00:00:00"/>
    <n v="3.52"/>
    <n v="5.58"/>
    <n v="2.06"/>
    <n v="13"/>
    <n v="72.540000000000006"/>
    <n v="0.06"/>
    <n v="4.3524000000000003"/>
    <n v="68.187600000000003"/>
    <n v="2.99"/>
    <n v="71.177599999999998"/>
  </r>
  <r>
    <s v="6287-1"/>
    <d v="2016-05-08T00:00:00"/>
    <x v="3"/>
    <x v="237"/>
    <s v="310 Wattle St,Ultimo"/>
    <s v="Sydney"/>
    <x v="1"/>
    <x v="1"/>
    <x v="9"/>
    <x v="2"/>
    <x v="72"/>
    <x v="0"/>
    <s v="Wrap Bag"/>
    <x v="0"/>
    <d v="2016-05-12T00:00:00"/>
    <n v="1.95"/>
    <n v="3.98"/>
    <n v="2.0300000000000002"/>
    <n v="27"/>
    <n v="107.46"/>
    <n v="0.06"/>
    <n v="6.4475999999999996"/>
    <n v="101.0124"/>
    <n v="0.83"/>
    <n v="101.8424"/>
  </r>
  <r>
    <s v="6288-1"/>
    <d v="2016-05-08T00:00:00"/>
    <x v="3"/>
    <x v="461"/>
    <s v="Shop 3/144 Waterloo Road,Greenacre"/>
    <s v="Sydney"/>
    <x v="1"/>
    <x v="1"/>
    <x v="6"/>
    <x v="2"/>
    <x v="12"/>
    <x v="0"/>
    <s v="Wrap Bag"/>
    <x v="0"/>
    <d v="2016-05-08T00:00:00"/>
    <n v="0.71"/>
    <n v="1.1399999999999999"/>
    <n v="0.42999999999999994"/>
    <n v="20"/>
    <n v="22.799999999999997"/>
    <n v="0.09"/>
    <n v="2.0519999999999996"/>
    <n v="20.747999999999998"/>
    <n v="0.7"/>
    <n v="21.447999999999997"/>
  </r>
  <r>
    <s v="6290-1"/>
    <d v="2016-05-09T00:00:00"/>
    <x v="3"/>
    <x v="141"/>
    <s v="1/173-179 Bronte Rd,Waverley"/>
    <s v="Sydney"/>
    <x v="1"/>
    <x v="1"/>
    <x v="2"/>
    <x v="0"/>
    <x v="123"/>
    <x v="0"/>
    <s v="Small Box"/>
    <x v="0"/>
    <d v="2016-05-11T00:00:00"/>
    <n v="84.22"/>
    <n v="210.55"/>
    <n v="126.33000000000001"/>
    <n v="4"/>
    <n v="842.2"/>
    <n v="0.05"/>
    <n v="42.110000000000007"/>
    <n v="800.09"/>
    <n v="9.99"/>
    <n v="810.08"/>
  </r>
  <r>
    <s v="6291-1"/>
    <d v="2016-05-10T00:00:00"/>
    <x v="3"/>
    <x v="74"/>
    <s v="6 Brookman Street"/>
    <s v="Perth"/>
    <x v="2"/>
    <x v="1"/>
    <x v="5"/>
    <x v="3"/>
    <x v="18"/>
    <x v="0"/>
    <s v="Small Box"/>
    <x v="0"/>
    <d v="2016-05-12T00:00:00"/>
    <n v="3.52"/>
    <n v="5.68"/>
    <n v="2.1599999999999997"/>
    <n v="34"/>
    <n v="193.12"/>
    <n v="0.06"/>
    <n v="11.587199999999999"/>
    <n v="181.53280000000001"/>
    <n v="1.39"/>
    <n v="182.9228"/>
  </r>
  <r>
    <s v="6293-1"/>
    <d v="2016-05-12T00:00:00"/>
    <x v="3"/>
    <x v="250"/>
    <s v="180 High Street,Windsor"/>
    <s v="Melbourne"/>
    <x v="0"/>
    <x v="1"/>
    <x v="1"/>
    <x v="1"/>
    <x v="83"/>
    <x v="0"/>
    <s v="Small Box"/>
    <x v="0"/>
    <d v="2016-05-14T00:00:00"/>
    <n v="2.1800000000000002"/>
    <n v="3.52"/>
    <n v="1.3399999999999999"/>
    <n v="42"/>
    <n v="147.84"/>
    <n v="0.04"/>
    <n v="5.9136000000000006"/>
    <n v="141.9264"/>
    <n v="6.83"/>
    <n v="148.75640000000001"/>
  </r>
  <r>
    <s v="6294-1"/>
    <d v="2016-05-14T00:00:00"/>
    <x v="3"/>
    <x v="269"/>
    <s v="1/50-58 Hunter St,Sydney"/>
    <s v="Sydney"/>
    <x v="1"/>
    <x v="1"/>
    <x v="12"/>
    <x v="3"/>
    <x v="97"/>
    <x v="0"/>
    <s v="Small Box"/>
    <x v="0"/>
    <d v="2016-05-16T00:00:00"/>
    <n v="2.29"/>
    <n v="3.69"/>
    <n v="1.4"/>
    <n v="47"/>
    <n v="173.43"/>
    <n v="0.05"/>
    <n v="8.6715"/>
    <n v="164.7585"/>
    <n v="0.5"/>
    <n v="165.2585"/>
  </r>
  <r>
    <s v="6295-1"/>
    <d v="2016-05-14T00:00:00"/>
    <x v="3"/>
    <x v="292"/>
    <s v="506 Swan Street,Richmond"/>
    <s v="Melbourne"/>
    <x v="0"/>
    <x v="3"/>
    <x v="1"/>
    <x v="3"/>
    <x v="56"/>
    <x v="0"/>
    <s v="Small Box"/>
    <x v="0"/>
    <d v="2016-05-16T00:00:00"/>
    <n v="1.33"/>
    <n v="2.08"/>
    <n v="0.75"/>
    <n v="43"/>
    <n v="89.44"/>
    <n v="0.05"/>
    <n v="4.4720000000000004"/>
    <n v="84.968000000000004"/>
    <n v="1.49"/>
    <n v="86.457999999999998"/>
  </r>
  <r>
    <s v="6295-1"/>
    <d v="2016-05-17T00:00:00"/>
    <x v="3"/>
    <x v="484"/>
    <s v="106 Ebley Street,Bondi Junction"/>
    <s v="Sydney"/>
    <x v="1"/>
    <x v="3"/>
    <x v="2"/>
    <x v="0"/>
    <x v="63"/>
    <x v="0"/>
    <s v="Wrap Bag"/>
    <x v="0"/>
    <d v="2016-05-18T00:00:00"/>
    <n v="3.88"/>
    <n v="6.47"/>
    <n v="2.59"/>
    <n v="7"/>
    <n v="45.29"/>
    <n v="0.02"/>
    <n v="0.90580000000000005"/>
    <n v="44.3842"/>
    <n v="1.22"/>
    <n v="45.604199999999999"/>
  </r>
  <r>
    <s v="6296-1"/>
    <d v="2016-05-18T00:00:00"/>
    <x v="3"/>
    <x v="485"/>
    <s v="224A Gertrude St,Fitzroy"/>
    <s v="Melbourne"/>
    <x v="0"/>
    <x v="1"/>
    <x v="1"/>
    <x v="3"/>
    <x v="90"/>
    <x v="0"/>
    <s v="Small Box"/>
    <x v="0"/>
    <d v="2016-05-20T00:00:00"/>
    <n v="14.95"/>
    <n v="34.76"/>
    <n v="19.809999999999999"/>
    <n v="8"/>
    <n v="278.08"/>
    <n v="0"/>
    <n v="0"/>
    <n v="278.08"/>
    <n v="8.2200000000000006"/>
    <n v="286.3"/>
  </r>
  <r>
    <s v="6298-1"/>
    <d v="2016-05-19T00:00:00"/>
    <x v="3"/>
    <x v="486"/>
    <s v="157 Norton St,Leichhardt"/>
    <s v="Sydney"/>
    <x v="1"/>
    <x v="0"/>
    <x v="7"/>
    <x v="4"/>
    <x v="100"/>
    <x v="0"/>
    <s v="Wrap Bag"/>
    <x v="0"/>
    <d v="2016-05-20T00:00:00"/>
    <n v="1.76"/>
    <n v="2.94"/>
    <n v="1.18"/>
    <n v="31"/>
    <n v="91.14"/>
    <n v="0.04"/>
    <n v="3.6456"/>
    <n v="87.494399999999999"/>
    <n v="0.81"/>
    <n v="88.304400000000001"/>
  </r>
  <r>
    <s v="6300-1"/>
    <d v="2016-05-21T00:00:00"/>
    <x v="3"/>
    <x v="487"/>
    <s v="152 Bunnerong Road,Eastgardens"/>
    <s v="Sydney"/>
    <x v="1"/>
    <x v="1"/>
    <x v="8"/>
    <x v="1"/>
    <x v="36"/>
    <x v="2"/>
    <s v="Small Pack"/>
    <x v="0"/>
    <d v="2016-05-22T00:00:00"/>
    <n v="5.5"/>
    <n v="12.22"/>
    <n v="6.7200000000000006"/>
    <n v="10"/>
    <n v="122.2"/>
    <n v="0.01"/>
    <n v="1.222"/>
    <n v="120.97800000000001"/>
    <n v="2.85"/>
    <n v="123.828"/>
  </r>
  <r>
    <s v="6301-1"/>
    <d v="2016-05-21T00:00:00"/>
    <x v="3"/>
    <x v="91"/>
    <s v="14 Money Street"/>
    <s v="Perth"/>
    <x v="2"/>
    <x v="3"/>
    <x v="4"/>
    <x v="1"/>
    <x v="112"/>
    <x v="0"/>
    <s v="Small Box"/>
    <x v="0"/>
    <d v="2016-05-21T00:00:00"/>
    <n v="52.07"/>
    <n v="83.98"/>
    <n v="31.910000000000004"/>
    <n v="46"/>
    <n v="3863.0800000000004"/>
    <n v="0.06"/>
    <n v="231.78480000000002"/>
    <n v="3631.2952000000005"/>
    <n v="5.01"/>
    <n v="3636.3052000000007"/>
  </r>
  <r>
    <s v="6302-1"/>
    <d v="2016-05-21T00:00:00"/>
    <x v="3"/>
    <x v="279"/>
    <s v="188 Pitt Street,Sydney"/>
    <s v="Sydney"/>
    <x v="1"/>
    <x v="1"/>
    <x v="8"/>
    <x v="1"/>
    <x v="90"/>
    <x v="0"/>
    <s v="Small Box"/>
    <x v="0"/>
    <d v="2016-05-22T00:00:00"/>
    <n v="14.95"/>
    <n v="34.76"/>
    <n v="19.809999999999999"/>
    <n v="47"/>
    <n v="1633.7199999999998"/>
    <n v="0.09"/>
    <n v="147.03479999999999"/>
    <n v="1486.6851999999999"/>
    <n v="8.2200000000000006"/>
    <n v="1494.9051999999999"/>
  </r>
  <r>
    <s v="6303-1"/>
    <d v="2016-05-22T00:00:00"/>
    <x v="3"/>
    <x v="47"/>
    <s v="8 Orange Street"/>
    <s v="Perth"/>
    <x v="2"/>
    <x v="1"/>
    <x v="8"/>
    <x v="4"/>
    <x v="71"/>
    <x v="0"/>
    <s v="Small Box"/>
    <x v="0"/>
    <d v="2016-05-24T00:00:00"/>
    <n v="4.46"/>
    <n v="10.89"/>
    <n v="6.4300000000000006"/>
    <n v="1"/>
    <n v="10.89"/>
    <n v="0"/>
    <n v="0"/>
    <n v="10.89"/>
    <n v="4.5"/>
    <n v="15.39"/>
  </r>
  <r>
    <s v="6304-1"/>
    <d v="2016-05-22T00:00:00"/>
    <x v="3"/>
    <x v="437"/>
    <s v="Westfield 1 Anderson St,Chatswood"/>
    <s v="Sydney"/>
    <x v="1"/>
    <x v="0"/>
    <x v="3"/>
    <x v="3"/>
    <x v="38"/>
    <x v="0"/>
    <s v="Small Box"/>
    <x v="0"/>
    <d v="2016-05-23T00:00:00"/>
    <n v="1.18"/>
    <n v="1.88"/>
    <n v="0.7"/>
    <n v="22"/>
    <n v="41.36"/>
    <n v="0.09"/>
    <n v="3.7223999999999999"/>
    <n v="37.637599999999999"/>
    <n v="1.49"/>
    <n v="39.127600000000001"/>
  </r>
  <r>
    <s v="6306-1"/>
    <d v="2016-05-23T00:00:00"/>
    <x v="3"/>
    <x v="488"/>
    <s v="85-113 Dunning Ave,Roseberry"/>
    <s v="Sydney"/>
    <x v="1"/>
    <x v="3"/>
    <x v="11"/>
    <x v="0"/>
    <x v="1"/>
    <x v="0"/>
    <s v="Wrap Bag"/>
    <x v="1"/>
    <d v="2016-05-24T00:00:00"/>
    <n v="2.39"/>
    <n v="4.26"/>
    <n v="1.8699999999999997"/>
    <n v="5"/>
    <n v="21.299999999999997"/>
    <n v="0.01"/>
    <n v="0.21299999999999997"/>
    <n v="21.086999999999996"/>
    <n v="1.2"/>
    <n v="22.286999999999995"/>
  </r>
  <r>
    <s v="6307-1"/>
    <d v="2016-05-26T00:00:00"/>
    <x v="3"/>
    <x v="489"/>
    <s v="1-2/299 Sussex St,Sydney"/>
    <s v="Sydney"/>
    <x v="1"/>
    <x v="3"/>
    <x v="9"/>
    <x v="4"/>
    <x v="117"/>
    <x v="0"/>
    <s v="Small Box"/>
    <x v="0"/>
    <d v="2016-05-27T00:00:00"/>
    <n v="52.04"/>
    <n v="83.93"/>
    <n v="31.890000000000008"/>
    <n v="5"/>
    <n v="419.65000000000003"/>
    <n v="0.04"/>
    <n v="16.786000000000001"/>
    <n v="402.86400000000003"/>
    <n v="19.989999999999998"/>
    <n v="422.85400000000004"/>
  </r>
  <r>
    <s v="6309-1"/>
    <d v="2016-05-27T00:00:00"/>
    <x v="3"/>
    <x v="490"/>
    <s v="255 Devonshire St,Surry Hills"/>
    <s v="Sydney"/>
    <x v="1"/>
    <x v="1"/>
    <x v="9"/>
    <x v="3"/>
    <x v="9"/>
    <x v="0"/>
    <s v="Small Box"/>
    <x v="0"/>
    <d v="2016-05-27T00:00:00"/>
    <n v="5.33"/>
    <n v="8.6"/>
    <n v="3.2699999999999996"/>
    <n v="1"/>
    <n v="8.6"/>
    <n v="0.06"/>
    <n v="0.51600000000000001"/>
    <n v="8.0839999999999996"/>
    <n v="6.19"/>
    <n v="14.274000000000001"/>
  </r>
  <r>
    <s v="6311-1"/>
    <d v="2016-05-29T00:00:00"/>
    <x v="3"/>
    <x v="491"/>
    <s v="2-4 College Street, Darlinghurst"/>
    <s v="Sydney"/>
    <x v="1"/>
    <x v="2"/>
    <x v="3"/>
    <x v="4"/>
    <x v="90"/>
    <x v="0"/>
    <s v="Small Box"/>
    <x v="0"/>
    <d v="2016-05-30T00:00:00"/>
    <n v="14.95"/>
    <n v="34.76"/>
    <n v="19.809999999999999"/>
    <n v="32"/>
    <n v="1112.32"/>
    <n v="0.02"/>
    <n v="22.246399999999998"/>
    <n v="1090.0735999999999"/>
    <n v="8.2200000000000006"/>
    <n v="1098.2936"/>
  </r>
  <r>
    <s v="6313-1"/>
    <d v="2016-05-30T00:00:00"/>
    <x v="3"/>
    <x v="476"/>
    <s v="14 Money Street"/>
    <s v="Perth"/>
    <x v="2"/>
    <x v="0"/>
    <x v="4"/>
    <x v="4"/>
    <x v="68"/>
    <x v="1"/>
    <s v="Small Box"/>
    <x v="0"/>
    <d v="2016-05-30T00:00:00"/>
    <n v="6.2"/>
    <n v="30.98"/>
    <n v="24.78"/>
    <n v="24"/>
    <n v="743.52"/>
    <n v="0.08"/>
    <n v="59.4816"/>
    <n v="684.03840000000002"/>
    <n v="4"/>
    <n v="688.03840000000002"/>
  </r>
  <r>
    <s v="6315-1"/>
    <d v="2016-05-31T00:00:00"/>
    <x v="3"/>
    <x v="84"/>
    <s v="Shop 1, 186-190 Church Street,Parramatta;46a Macleay Street,Potts Point"/>
    <s v="Sydney"/>
    <x v="1"/>
    <x v="2"/>
    <x v="11"/>
    <x v="2"/>
    <x v="19"/>
    <x v="0"/>
    <s v="Small Pack"/>
    <x v="0"/>
    <d v="2016-06-02T00:00:00"/>
    <n v="0.94"/>
    <n v="2.08"/>
    <n v="1.1400000000000001"/>
    <n v="49"/>
    <n v="101.92"/>
    <n v="0.08"/>
    <n v="8.1536000000000008"/>
    <n v="93.766400000000004"/>
    <n v="2.56"/>
    <n v="96.326400000000007"/>
  </r>
  <r>
    <s v="6316-1"/>
    <d v="2016-05-31T00:00:00"/>
    <x v="3"/>
    <x v="252"/>
    <s v="101 Murray Street, Perth"/>
    <s v="Perth"/>
    <x v="2"/>
    <x v="3"/>
    <x v="4"/>
    <x v="0"/>
    <x v="130"/>
    <x v="1"/>
    <s v="Small Box"/>
    <x v="0"/>
    <d v="2016-06-03T00:00:00"/>
    <n v="14.7"/>
    <n v="29.99"/>
    <n v="15.29"/>
    <n v="1"/>
    <n v="29.99"/>
    <n v="0.04"/>
    <n v="1.1996"/>
    <n v="28.790399999999998"/>
    <n v="5.5"/>
    <n v="34.290399999999998"/>
  </r>
  <r>
    <s v="6317-1"/>
    <d v="2016-06-02T00:00:00"/>
    <x v="3"/>
    <x v="66"/>
    <s v="85-113 Dunning Ave,Roseberry"/>
    <s v="Sydney"/>
    <x v="1"/>
    <x v="2"/>
    <x v="11"/>
    <x v="1"/>
    <x v="144"/>
    <x v="0"/>
    <s v="Wrap Bag"/>
    <x v="0"/>
    <d v="2016-06-04T00:00:00"/>
    <n v="3.95"/>
    <n v="6.08"/>
    <n v="2.13"/>
    <n v="50"/>
    <n v="304"/>
    <n v="0.09"/>
    <n v="27.36"/>
    <n v="276.64"/>
    <n v="1.82"/>
    <n v="278.45999999999998"/>
  </r>
  <r>
    <s v="6319-1"/>
    <d v="2016-06-03T00:00:00"/>
    <x v="3"/>
    <x v="46"/>
    <s v="8/2 Edward Street, Perth"/>
    <s v="Sydney"/>
    <x v="1"/>
    <x v="3"/>
    <x v="3"/>
    <x v="1"/>
    <x v="73"/>
    <x v="0"/>
    <s v="Small Box"/>
    <x v="0"/>
    <d v="2016-06-04T00:00:00"/>
    <n v="1.94"/>
    <n v="3.08"/>
    <n v="1.1400000000000001"/>
    <n v="11"/>
    <n v="33.880000000000003"/>
    <n v="0.03"/>
    <n v="1.0164"/>
    <n v="32.863600000000005"/>
    <n v="0.99"/>
    <n v="33.853600000000007"/>
  </r>
  <r>
    <s v="6320-1"/>
    <d v="2016-06-03T00:00:00"/>
    <x v="3"/>
    <x v="492"/>
    <s v="181 Enmore Rd,Enmore"/>
    <s v="Sydney"/>
    <x v="1"/>
    <x v="3"/>
    <x v="13"/>
    <x v="3"/>
    <x v="12"/>
    <x v="0"/>
    <s v="Wrap Bag"/>
    <x v="0"/>
    <d v="2016-06-05T00:00:00"/>
    <n v="0.71"/>
    <n v="1.1399999999999999"/>
    <n v="0.42999999999999994"/>
    <n v="3"/>
    <n v="3.42"/>
    <n v="0.1"/>
    <n v="0.34200000000000003"/>
    <n v="3.0779999999999998"/>
    <n v="0.7"/>
    <n v="3.7779999999999996"/>
  </r>
  <r>
    <s v="6321-1"/>
    <d v="2016-06-11T00:00:00"/>
    <x v="3"/>
    <x v="381"/>
    <s v="101 Murray Street"/>
    <s v="Perth"/>
    <x v="2"/>
    <x v="1"/>
    <x v="8"/>
    <x v="1"/>
    <x v="64"/>
    <x v="0"/>
    <s v="Wrap Bag"/>
    <x v="0"/>
    <d v="2016-06-12T00:00:00"/>
    <n v="1.31"/>
    <n v="2.84"/>
    <n v="1.5299999999999998"/>
    <n v="9"/>
    <n v="25.56"/>
    <n v="0.08"/>
    <n v="2.0448"/>
    <n v="23.5152"/>
    <n v="0.93"/>
    <n v="24.4452"/>
  </r>
  <r>
    <s v="6322-1"/>
    <d v="2016-06-13T00:00:00"/>
    <x v="3"/>
    <x v="301"/>
    <s v="501 George St,Sydney"/>
    <s v="Sydney"/>
    <x v="1"/>
    <x v="0"/>
    <x v="6"/>
    <x v="1"/>
    <x v="24"/>
    <x v="1"/>
    <s v="Small Box"/>
    <x v="0"/>
    <d v="2016-06-15T00:00:00"/>
    <n v="32.020000000000003"/>
    <n v="152.47999999999999"/>
    <n v="120.45999999999998"/>
    <n v="12"/>
    <n v="1829.7599999999998"/>
    <n v="0.1"/>
    <n v="182.976"/>
    <n v="1646.7839999999997"/>
    <n v="4"/>
    <n v="1650.7839999999997"/>
  </r>
  <r>
    <s v="6324-1"/>
    <d v="2016-06-14T00:00:00"/>
    <x v="3"/>
    <x v="442"/>
    <s v="99 Lygon Street,East Brunswick"/>
    <s v="Melbourne"/>
    <x v="0"/>
    <x v="0"/>
    <x v="1"/>
    <x v="2"/>
    <x v="30"/>
    <x v="1"/>
    <s v="Medium Box"/>
    <x v="0"/>
    <d v="2016-06-14T00:00:00"/>
    <n v="8.82"/>
    <n v="20.99"/>
    <n v="12.169999999999998"/>
    <n v="2"/>
    <n v="41.98"/>
    <n v="0.01"/>
    <n v="0.41979999999999995"/>
    <n v="41.560199999999995"/>
    <n v="4.8099999999999996"/>
    <n v="46.370199999999997"/>
  </r>
  <r>
    <s v="6325-1"/>
    <d v="2016-06-14T00:00:00"/>
    <x v="3"/>
    <x v="212"/>
    <s v="2a/285A Crown St,Surry Hills"/>
    <s v="Sydney"/>
    <x v="1"/>
    <x v="0"/>
    <x v="4"/>
    <x v="0"/>
    <x v="24"/>
    <x v="1"/>
    <s v="Small Box"/>
    <x v="0"/>
    <d v="2016-06-16T00:00:00"/>
    <n v="32.020000000000003"/>
    <n v="152.47999999999999"/>
    <n v="120.45999999999998"/>
    <n v="37"/>
    <n v="5641.7599999999993"/>
    <n v="0.1"/>
    <n v="564.17599999999993"/>
    <n v="5077.5839999999989"/>
    <n v="4"/>
    <n v="5081.5839999999989"/>
  </r>
  <r>
    <s v="6325-2"/>
    <d v="2016-06-14T00:00:00"/>
    <x v="3"/>
    <x v="212"/>
    <s v="2a/285A Crown St,Surry Hills"/>
    <s v="Sydney"/>
    <x v="1"/>
    <x v="0"/>
    <x v="4"/>
    <x v="0"/>
    <x v="48"/>
    <x v="1"/>
    <s v="Small Pack"/>
    <x v="0"/>
    <d v="2016-06-16T00:00:00"/>
    <n v="20.18"/>
    <n v="35.409999999999997"/>
    <n v="15.229999999999997"/>
    <n v="30"/>
    <n v="1062.3"/>
    <n v="0.08"/>
    <n v="84.983999999999995"/>
    <n v="977.31599999999992"/>
    <n v="1.99"/>
    <n v="979.30599999999993"/>
  </r>
  <r>
    <s v="6327-1"/>
    <d v="2016-06-14T00:00:00"/>
    <x v="3"/>
    <x v="493"/>
    <s v="438 Victoria Avenue,Chatswood"/>
    <s v="Sydney"/>
    <x v="1"/>
    <x v="1"/>
    <x v="5"/>
    <x v="1"/>
    <x v="6"/>
    <x v="0"/>
    <s v="Small Box"/>
    <x v="1"/>
    <d v="2016-06-15T00:00:00"/>
    <n v="99.39"/>
    <n v="162.93"/>
    <n v="63.540000000000006"/>
    <n v="36"/>
    <n v="5865.4800000000005"/>
    <n v="0.05"/>
    <n v="293.27400000000006"/>
    <n v="5572.2060000000001"/>
    <n v="19.989999999999998"/>
    <n v="5592.1959999999999"/>
  </r>
  <r>
    <s v="6328-1"/>
    <d v="2016-06-14T00:00:00"/>
    <x v="3"/>
    <x v="442"/>
    <s v="99 Lygon Street,East Brunswick"/>
    <s v="Melbourne"/>
    <x v="0"/>
    <x v="0"/>
    <x v="1"/>
    <x v="2"/>
    <x v="12"/>
    <x v="0"/>
    <s v="Wrap Bag"/>
    <x v="0"/>
    <d v="2016-06-19T00:00:00"/>
    <n v="0.71"/>
    <n v="1.1399999999999999"/>
    <n v="0.42999999999999994"/>
    <n v="31"/>
    <n v="35.339999999999996"/>
    <n v="7.0000000000000007E-2"/>
    <n v="2.4737999999999998"/>
    <n v="32.866199999999999"/>
    <n v="0.7"/>
    <n v="33.566200000000002"/>
  </r>
  <r>
    <s v="6329-1"/>
    <d v="2016-06-15T00:00:00"/>
    <x v="3"/>
    <x v="300"/>
    <s v="14/76 Newcastle Street, Perth"/>
    <s v="Sydney"/>
    <x v="1"/>
    <x v="0"/>
    <x v="4"/>
    <x v="2"/>
    <x v="31"/>
    <x v="0"/>
    <s v="Small Box"/>
    <x v="0"/>
    <d v="2016-06-17T00:00:00"/>
    <n v="13.88"/>
    <n v="22.38"/>
    <n v="8.4999999999999982"/>
    <n v="11"/>
    <n v="246.17999999999998"/>
    <n v="0.01"/>
    <n v="2.4617999999999998"/>
    <n v="243.71819999999997"/>
    <n v="15.1"/>
    <n v="258.81819999999999"/>
  </r>
  <r>
    <s v="6330-1"/>
    <d v="2016-06-15T00:00:00"/>
    <x v="3"/>
    <x v="60"/>
    <s v="4A Lyons St,Strathfield"/>
    <s v="Sydney"/>
    <x v="1"/>
    <x v="1"/>
    <x v="8"/>
    <x v="3"/>
    <x v="4"/>
    <x v="0"/>
    <s v="Wrap Bag"/>
    <x v="1"/>
    <d v="2016-06-17T00:00:00"/>
    <n v="0.9"/>
    <n v="2.1"/>
    <n v="1.2000000000000002"/>
    <n v="31"/>
    <n v="65.100000000000009"/>
    <n v="0.08"/>
    <n v="5.2080000000000011"/>
    <n v="59.89200000000001"/>
    <n v="0.7"/>
    <n v="60.592000000000013"/>
  </r>
  <r>
    <s v="6332-1"/>
    <d v="2016-06-18T00:00:00"/>
    <x v="3"/>
    <x v="483"/>
    <s v="310 Wattle St,Ultimo"/>
    <s v="Sydney"/>
    <x v="1"/>
    <x v="0"/>
    <x v="9"/>
    <x v="2"/>
    <x v="17"/>
    <x v="1"/>
    <s v="Small Box"/>
    <x v="0"/>
    <d v="2016-06-20T00:00:00"/>
    <n v="81.59"/>
    <n v="159.99"/>
    <n v="78.400000000000006"/>
    <n v="31"/>
    <n v="4959.6900000000005"/>
    <n v="0.01"/>
    <n v="49.596900000000005"/>
    <n v="4910.0931"/>
    <n v="5.5"/>
    <n v="4915.5931"/>
  </r>
  <r>
    <s v="6333-1"/>
    <d v="2016-06-19T00:00:00"/>
    <x v="3"/>
    <x v="494"/>
    <s v="154 Castlereagh St,Sydney"/>
    <s v="Sydney"/>
    <x v="1"/>
    <x v="2"/>
    <x v="6"/>
    <x v="4"/>
    <x v="89"/>
    <x v="0"/>
    <s v="Small Pack"/>
    <x v="0"/>
    <d v="2016-06-20T00:00:00"/>
    <n v="2.5"/>
    <n v="5.68"/>
    <n v="3.1799999999999997"/>
    <n v="27"/>
    <n v="153.35999999999999"/>
    <n v="0.03"/>
    <n v="4.6007999999999996"/>
    <n v="148.75919999999999"/>
    <n v="3.6"/>
    <n v="152.35919999999999"/>
  </r>
  <r>
    <s v="6335-1"/>
    <d v="2016-06-20T00:00:00"/>
    <x v="3"/>
    <x v="495"/>
    <s v="7 Khartoum Rd,Macquarie Park"/>
    <s v="Sydney"/>
    <x v="1"/>
    <x v="2"/>
    <x v="12"/>
    <x v="0"/>
    <x v="32"/>
    <x v="0"/>
    <s v="Wrap Bag"/>
    <x v="0"/>
    <d v="2016-06-21T00:00:00"/>
    <n v="21.56"/>
    <n v="36.549999999999997"/>
    <n v="14.989999999999998"/>
    <n v="34"/>
    <n v="1242.6999999999998"/>
    <n v="0.1"/>
    <n v="124.26999999999998"/>
    <n v="1118.4299999999998"/>
    <n v="13.89"/>
    <n v="1132.32"/>
  </r>
  <r>
    <s v="6336-1"/>
    <d v="2016-06-20T00:00:00"/>
    <x v="3"/>
    <x v="226"/>
    <s v="53-55 Liverpool St,Sydney"/>
    <s v="Sydney"/>
    <x v="1"/>
    <x v="2"/>
    <x v="8"/>
    <x v="4"/>
    <x v="76"/>
    <x v="0"/>
    <s v="Wrap Bag"/>
    <x v="1"/>
    <d v="2016-06-20T00:00:00"/>
    <n v="1.53"/>
    <n v="2.78"/>
    <n v="1.2499999999999998"/>
    <n v="47"/>
    <n v="130.66"/>
    <n v="0.1"/>
    <n v="13.066000000000001"/>
    <n v="117.59399999999999"/>
    <n v="1.34"/>
    <n v="118.934"/>
  </r>
  <r>
    <s v="6336-2"/>
    <d v="2016-06-20T00:00:00"/>
    <x v="3"/>
    <x v="226"/>
    <s v="53-55 Liverpool St,Sydney"/>
    <s v="Sydney"/>
    <x v="1"/>
    <x v="2"/>
    <x v="8"/>
    <x v="4"/>
    <x v="53"/>
    <x v="0"/>
    <s v="Wrap Bag"/>
    <x v="0"/>
    <d v="2016-06-23T00:00:00"/>
    <n v="1.6"/>
    <n v="2.62"/>
    <n v="1.02"/>
    <n v="30"/>
    <n v="78.600000000000009"/>
    <n v="0.05"/>
    <n v="3.9300000000000006"/>
    <n v="74.67"/>
    <n v="0.8"/>
    <n v="75.47"/>
  </r>
  <r>
    <s v="6337-1"/>
    <d v="2016-06-25T00:00:00"/>
    <x v="3"/>
    <x v="294"/>
    <s v="101 Murray Street"/>
    <s v="Perth"/>
    <x v="2"/>
    <x v="1"/>
    <x v="8"/>
    <x v="3"/>
    <x v="52"/>
    <x v="0"/>
    <s v="Wrap Bag"/>
    <x v="0"/>
    <d v="2016-06-27T00:00:00"/>
    <n v="2.9"/>
    <n v="4.76"/>
    <n v="1.8599999999999999"/>
    <n v="5"/>
    <n v="23.799999999999997"/>
    <n v="0.09"/>
    <n v="2.1419999999999995"/>
    <n v="21.657999999999998"/>
    <n v="0.88"/>
    <n v="22.537999999999997"/>
  </r>
  <r>
    <s v="6338-1"/>
    <d v="2016-06-28T00:00:00"/>
    <x v="3"/>
    <x v="170"/>
    <s v="Westfield Sydney,Sydney"/>
    <s v="Sydney"/>
    <x v="1"/>
    <x v="1"/>
    <x v="5"/>
    <x v="4"/>
    <x v="75"/>
    <x v="0"/>
    <s v="Small Box"/>
    <x v="0"/>
    <d v="2016-06-30T00:00:00"/>
    <n v="1.84"/>
    <n v="2.88"/>
    <n v="1.0399999999999998"/>
    <n v="25"/>
    <n v="72"/>
    <n v="0.04"/>
    <n v="2.88"/>
    <n v="69.12"/>
    <n v="1.49"/>
    <n v="70.61"/>
  </r>
  <r>
    <s v="6339-1"/>
    <d v="2016-06-29T00:00:00"/>
    <x v="3"/>
    <x v="457"/>
    <s v="10 Lake Street"/>
    <s v="Perth"/>
    <x v="2"/>
    <x v="3"/>
    <x v="4"/>
    <x v="2"/>
    <x v="87"/>
    <x v="0"/>
    <s v="Wrap Bag"/>
    <x v="1"/>
    <d v="2016-07-04T00:00:00"/>
    <n v="3.32"/>
    <n v="5.18"/>
    <n v="1.8599999999999999"/>
    <n v="1"/>
    <n v="5.18"/>
    <n v="0.02"/>
    <n v="0.1036"/>
    <n v="5.0763999999999996"/>
    <n v="2.04"/>
    <n v="7.1163999999999996"/>
  </r>
  <r>
    <s v="6339-2"/>
    <d v="2016-06-29T00:00:00"/>
    <x v="3"/>
    <x v="457"/>
    <s v="10 Lake Street"/>
    <s v="Perth"/>
    <x v="2"/>
    <x v="3"/>
    <x v="4"/>
    <x v="2"/>
    <x v="69"/>
    <x v="0"/>
    <s v="Wrap Bag"/>
    <x v="0"/>
    <d v="2016-07-03T00:00:00"/>
    <n v="2.98"/>
    <n v="5.84"/>
    <n v="2.86"/>
    <n v="4"/>
    <n v="23.36"/>
    <n v="0.09"/>
    <n v="2.1023999999999998"/>
    <n v="21.2576"/>
    <n v="0.83"/>
    <n v="22.087599999999998"/>
  </r>
  <r>
    <s v="6340-1"/>
    <d v="2016-06-29T00:00:00"/>
    <x v="3"/>
    <x v="388"/>
    <s v="523 King St,Newtown"/>
    <s v="Sydney"/>
    <x v="1"/>
    <x v="1"/>
    <x v="9"/>
    <x v="1"/>
    <x v="106"/>
    <x v="0"/>
    <s v="Small Box"/>
    <x v="0"/>
    <d v="2016-07-01T00:00:00"/>
    <n v="3.14"/>
    <n v="4.91"/>
    <n v="1.77"/>
    <n v="28"/>
    <n v="137.48000000000002"/>
    <n v="0.08"/>
    <n v="10.998400000000002"/>
    <n v="126.48160000000001"/>
    <n v="0.5"/>
    <n v="126.98160000000001"/>
  </r>
  <r>
    <s v="6342-1"/>
    <d v="2016-06-30T00:00:00"/>
    <x v="3"/>
    <x v="496"/>
    <s v="Macquarie Centre Cnr Herring Road &amp; Waterloo Road,Macquarie Park"/>
    <s v="Sydney"/>
    <x v="1"/>
    <x v="2"/>
    <x v="3"/>
    <x v="2"/>
    <x v="31"/>
    <x v="0"/>
    <s v="Small Box"/>
    <x v="0"/>
    <d v="2016-07-02T00:00:00"/>
    <n v="13.88"/>
    <n v="22.38"/>
    <n v="8.4999999999999982"/>
    <n v="9"/>
    <n v="201.42"/>
    <n v="0.03"/>
    <n v="6.0425999999999993"/>
    <n v="195.37739999999999"/>
    <n v="15.1"/>
    <n v="210.47739999999999"/>
  </r>
  <r>
    <s v="6343-1"/>
    <d v="2016-06-30T00:00:00"/>
    <x v="3"/>
    <x v="248"/>
    <s v="Qantas Domestic Terminal,Mascot"/>
    <s v="Sydney"/>
    <x v="1"/>
    <x v="1"/>
    <x v="4"/>
    <x v="0"/>
    <x v="65"/>
    <x v="0"/>
    <s v="Wrap Bag"/>
    <x v="0"/>
    <d v="2016-07-01T00:00:00"/>
    <n v="0.24"/>
    <n v="1.26"/>
    <n v="1.02"/>
    <n v="47"/>
    <n v="59.22"/>
    <n v="0"/>
    <n v="0"/>
    <n v="59.22"/>
    <n v="0.7"/>
    <n v="59.92"/>
  </r>
  <r>
    <s v="6345-1"/>
    <d v="2016-07-02T00:00:00"/>
    <x v="3"/>
    <x v="360"/>
    <s v="2a/285A Crown St,Surry Hills"/>
    <s v="Sydney"/>
    <x v="1"/>
    <x v="0"/>
    <x v="4"/>
    <x v="0"/>
    <x v="128"/>
    <x v="0"/>
    <s v="Small Box"/>
    <x v="0"/>
    <d v="2016-07-04T00:00:00"/>
    <n v="1.84"/>
    <n v="2.88"/>
    <n v="1.0399999999999998"/>
    <n v="18"/>
    <n v="51.839999999999996"/>
    <n v="0.03"/>
    <n v="1.5551999999999999"/>
    <n v="50.284799999999997"/>
    <n v="0.99"/>
    <n v="51.274799999999999"/>
  </r>
  <r>
    <s v="6346-1"/>
    <d v="2016-07-02T00:00:00"/>
    <x v="3"/>
    <x v="367"/>
    <s v="14 Knebworth Avenue, Perth"/>
    <s v="Sydney"/>
    <x v="1"/>
    <x v="1"/>
    <x v="2"/>
    <x v="1"/>
    <x v="53"/>
    <x v="0"/>
    <s v="Wrap Bag"/>
    <x v="0"/>
    <d v="2016-07-04T00:00:00"/>
    <n v="1.6"/>
    <n v="2.62"/>
    <n v="1.02"/>
    <n v="16"/>
    <n v="41.92"/>
    <n v="0.09"/>
    <n v="3.7728000000000002"/>
    <n v="38.147199999999998"/>
    <n v="0.8"/>
    <n v="38.947199999999995"/>
  </r>
  <r>
    <s v="6347-1"/>
    <d v="2016-07-02T00:00:00"/>
    <x v="3"/>
    <x v="497"/>
    <s v="438 Victoria Avenue,Chatswood"/>
    <s v="Sydney"/>
    <x v="1"/>
    <x v="0"/>
    <x v="5"/>
    <x v="2"/>
    <x v="36"/>
    <x v="2"/>
    <s v="Small Pack"/>
    <x v="0"/>
    <d v="2016-07-09T00:00:00"/>
    <n v="5.5"/>
    <n v="12.22"/>
    <n v="6.7200000000000006"/>
    <n v="46"/>
    <n v="562.12"/>
    <n v="0.03"/>
    <n v="16.863599999999998"/>
    <n v="545.25639999999999"/>
    <n v="2.85"/>
    <n v="548.10640000000001"/>
  </r>
  <r>
    <s v="6348-1"/>
    <d v="2016-07-03T00:00:00"/>
    <x v="3"/>
    <x v="179"/>
    <s v="73 York St,Sydney"/>
    <s v="Sydney"/>
    <x v="1"/>
    <x v="0"/>
    <x v="8"/>
    <x v="4"/>
    <x v="124"/>
    <x v="0"/>
    <s v="Wrap Bag"/>
    <x v="0"/>
    <d v="2016-07-05T00:00:00"/>
    <n v="0.87"/>
    <n v="1.81"/>
    <n v="0.94000000000000006"/>
    <n v="50"/>
    <n v="90.5"/>
    <n v="0.08"/>
    <n v="7.24"/>
    <n v="83.26"/>
    <n v="0.75"/>
    <n v="84.01"/>
  </r>
  <r>
    <s v="6349-1"/>
    <d v="2016-07-05T00:00:00"/>
    <x v="3"/>
    <x v="176"/>
    <s v="2/797 Botany Rd,Rosebery"/>
    <s v="Sydney"/>
    <x v="1"/>
    <x v="0"/>
    <x v="6"/>
    <x v="3"/>
    <x v="77"/>
    <x v="0"/>
    <s v="Small Box"/>
    <x v="1"/>
    <d v="2016-07-07T00:00:00"/>
    <n v="2.2599999999999998"/>
    <n v="3.58"/>
    <n v="1.3200000000000003"/>
    <n v="36"/>
    <n v="128.88"/>
    <n v="0.04"/>
    <n v="5.1551999999999998"/>
    <n v="123.7248"/>
    <n v="5.47"/>
    <n v="129.19480000000001"/>
  </r>
  <r>
    <s v="6351-1"/>
    <d v="2016-07-07T00:00:00"/>
    <x v="3"/>
    <x v="498"/>
    <s v="412 Brunswick St,Fitzroy"/>
    <s v="Melbourne"/>
    <x v="0"/>
    <x v="0"/>
    <x v="1"/>
    <x v="0"/>
    <x v="7"/>
    <x v="0"/>
    <s v="Wrap Bag"/>
    <x v="0"/>
    <d v="2016-07-08T00:00:00"/>
    <n v="1.0900000000000001"/>
    <n v="1.68"/>
    <n v="0.58999999999999986"/>
    <n v="50"/>
    <n v="84"/>
    <n v="0.09"/>
    <n v="7.56"/>
    <n v="76.44"/>
    <n v="1"/>
    <n v="77.44"/>
  </r>
  <r>
    <s v="6352-1"/>
    <d v="2016-07-11T00:00:00"/>
    <x v="3"/>
    <x v="499"/>
    <s v="18 Whistler St,Sydney"/>
    <s v="Sydney"/>
    <x v="1"/>
    <x v="0"/>
    <x v="3"/>
    <x v="4"/>
    <x v="47"/>
    <x v="0"/>
    <s v="Wrap Bag"/>
    <x v="0"/>
    <d v="2016-07-12T00:00:00"/>
    <n v="3.48"/>
    <n v="5.43"/>
    <n v="1.9499999999999997"/>
    <n v="2"/>
    <n v="10.86"/>
    <n v="0.03"/>
    <n v="0.32579999999999998"/>
    <n v="10.5342"/>
    <n v="0.95"/>
    <n v="11.4842"/>
  </r>
  <r>
    <s v="6353-1"/>
    <d v="2016-07-12T00:00:00"/>
    <x v="3"/>
    <x v="500"/>
    <s v="506 Swan Street,Richmond"/>
    <s v="Melbourne"/>
    <x v="0"/>
    <x v="3"/>
    <x v="1"/>
    <x v="4"/>
    <x v="70"/>
    <x v="0"/>
    <s v="Small Box"/>
    <x v="0"/>
    <d v="2016-07-13T00:00:00"/>
    <n v="3.65"/>
    <n v="5.98"/>
    <n v="2.3300000000000005"/>
    <n v="22"/>
    <n v="131.56"/>
    <n v="7.0000000000000007E-2"/>
    <n v="9.2092000000000009"/>
    <n v="122.35080000000001"/>
    <n v="1.49"/>
    <n v="123.8408"/>
  </r>
  <r>
    <s v="6354-1"/>
    <d v="2016-07-16T00:00:00"/>
    <x v="3"/>
    <x v="131"/>
    <s v="8 Rankins Lane ,Melbourne"/>
    <s v="Melbourne"/>
    <x v="0"/>
    <x v="0"/>
    <x v="1"/>
    <x v="0"/>
    <x v="24"/>
    <x v="1"/>
    <s v="Small Box"/>
    <x v="0"/>
    <d v="2016-07-18T00:00:00"/>
    <n v="32.020000000000003"/>
    <n v="152.47999999999999"/>
    <n v="120.45999999999998"/>
    <n v="2"/>
    <n v="304.95999999999998"/>
    <n v="0.03"/>
    <n v="9.1487999999999996"/>
    <n v="295.81119999999999"/>
    <n v="4"/>
    <n v="299.81119999999999"/>
  </r>
  <r>
    <s v="6355-1"/>
    <d v="2016-07-17T00:00:00"/>
    <x v="3"/>
    <x v="288"/>
    <s v="65 Palmerston Street"/>
    <s v="Perth"/>
    <x v="2"/>
    <x v="1"/>
    <x v="5"/>
    <x v="3"/>
    <x v="103"/>
    <x v="0"/>
    <s v="Wrap Bag"/>
    <x v="0"/>
    <d v="2016-07-18T00:00:00"/>
    <n v="0.93"/>
    <n v="1.6"/>
    <n v="0.67"/>
    <n v="39"/>
    <n v="62.400000000000006"/>
    <n v="0.1"/>
    <n v="6.2400000000000011"/>
    <n v="56.160000000000004"/>
    <n v="1.29"/>
    <n v="57.45"/>
  </r>
  <r>
    <s v="6356-1"/>
    <d v="2016-07-27T00:00:00"/>
    <x v="3"/>
    <x v="403"/>
    <s v="155 Oxford Street,Darlinghurst"/>
    <s v="Sydney"/>
    <x v="1"/>
    <x v="0"/>
    <x v="6"/>
    <x v="1"/>
    <x v="146"/>
    <x v="1"/>
    <s v="Large Box"/>
    <x v="0"/>
    <d v="2016-07-29T00:00:00"/>
    <n v="269.99"/>
    <n v="449.99"/>
    <n v="180"/>
    <n v="3"/>
    <n v="1349.97"/>
    <n v="0.06"/>
    <n v="80.998199999999997"/>
    <n v="1268.9718"/>
    <n v="24.49"/>
    <n v="1293.4618"/>
  </r>
  <r>
    <s v="6358-1"/>
    <d v="2016-07-28T00:00:00"/>
    <x v="3"/>
    <x v="357"/>
    <s v="310 Wattle St,Ultimo"/>
    <s v="Sydney"/>
    <x v="1"/>
    <x v="0"/>
    <x v="9"/>
    <x v="4"/>
    <x v="31"/>
    <x v="0"/>
    <s v="Small Box"/>
    <x v="0"/>
    <d v="2016-07-30T00:00:00"/>
    <n v="13.88"/>
    <n v="22.38"/>
    <n v="8.4999999999999982"/>
    <n v="18"/>
    <n v="402.84"/>
    <n v="0.05"/>
    <n v="20.141999999999999"/>
    <n v="382.69799999999998"/>
    <n v="15.1"/>
    <n v="397.798"/>
  </r>
  <r>
    <s v="6359-1"/>
    <d v="2016-08-02T00:00:00"/>
    <x v="3"/>
    <x v="230"/>
    <s v="222 Barkly St,St Kilda"/>
    <s v="Melbourne"/>
    <x v="0"/>
    <x v="0"/>
    <x v="0"/>
    <x v="3"/>
    <x v="50"/>
    <x v="0"/>
    <s v="Small Box"/>
    <x v="0"/>
    <d v="2016-08-04T00:00:00"/>
    <n v="178.83"/>
    <n v="415.88"/>
    <n v="237.04999999999998"/>
    <n v="4"/>
    <n v="1663.52"/>
    <n v="0.04"/>
    <n v="66.540800000000004"/>
    <n v="1596.9792"/>
    <n v="11.37"/>
    <n v="1608.3491999999999"/>
  </r>
  <r>
    <s v="6361-1"/>
    <d v="2016-08-03T00:00:00"/>
    <x v="3"/>
    <x v="501"/>
    <s v="523 King St,Newtown"/>
    <s v="Sydney"/>
    <x v="1"/>
    <x v="3"/>
    <x v="9"/>
    <x v="3"/>
    <x v="26"/>
    <x v="0"/>
    <s v="Small Pack"/>
    <x v="0"/>
    <d v="2016-08-04T00:00:00"/>
    <n v="4.79"/>
    <n v="11.97"/>
    <n v="7.1800000000000006"/>
    <n v="49"/>
    <n v="586.53000000000009"/>
    <n v="0.09"/>
    <n v="52.787700000000008"/>
    <n v="533.74230000000011"/>
    <n v="5.81"/>
    <n v="539.55230000000006"/>
  </r>
  <r>
    <s v="6362-1"/>
    <d v="2016-08-04T00:00:00"/>
    <x v="3"/>
    <x v="502"/>
    <s v="Westfield Sydney,Sydney"/>
    <s v="Sydney"/>
    <x v="1"/>
    <x v="1"/>
    <x v="5"/>
    <x v="0"/>
    <x v="66"/>
    <x v="1"/>
    <s v="Small Box"/>
    <x v="0"/>
    <d v="2016-08-06T00:00:00"/>
    <n v="54.52"/>
    <n v="100.97"/>
    <n v="46.449999999999996"/>
    <n v="41"/>
    <n v="4139.7699999999995"/>
    <n v="0.03"/>
    <n v="124.19309999999999"/>
    <n v="4015.5768999999996"/>
    <n v="7.18"/>
    <n v="4022.7568999999994"/>
  </r>
  <r>
    <s v="6364-1"/>
    <d v="2016-08-05T00:00:00"/>
    <x v="3"/>
    <x v="64"/>
    <s v="101 Murray Street, Perth"/>
    <s v="Sydney"/>
    <x v="1"/>
    <x v="1"/>
    <x v="11"/>
    <x v="0"/>
    <x v="76"/>
    <x v="0"/>
    <s v="Wrap Bag"/>
    <x v="0"/>
    <d v="2016-08-06T00:00:00"/>
    <n v="1.17"/>
    <n v="2.78"/>
    <n v="1.6099999999999999"/>
    <n v="6"/>
    <n v="16.68"/>
    <n v="0.01"/>
    <n v="0.1668"/>
    <n v="16.513200000000001"/>
    <n v="1.2"/>
    <n v="17.713200000000001"/>
  </r>
  <r>
    <s v="6365-1"/>
    <d v="2016-08-07T00:00:00"/>
    <x v="3"/>
    <x v="503"/>
    <s v="10 O'Connell St,Sydney"/>
    <s v="Sydney"/>
    <x v="1"/>
    <x v="2"/>
    <x v="9"/>
    <x v="3"/>
    <x v="117"/>
    <x v="0"/>
    <s v="Small Box"/>
    <x v="0"/>
    <d v="2016-08-08T00:00:00"/>
    <n v="52.04"/>
    <n v="83.93"/>
    <n v="31.890000000000008"/>
    <n v="37"/>
    <n v="3105.4100000000003"/>
    <n v="0.03"/>
    <n v="93.162300000000002"/>
    <n v="3012.2477000000003"/>
    <n v="19.989999999999998"/>
    <n v="3032.2377000000001"/>
  </r>
  <r>
    <s v="6367-1"/>
    <d v="2016-08-08T00:00:00"/>
    <x v="3"/>
    <x v="504"/>
    <s v="1-2/299 Sussex St,Sydney"/>
    <s v="Sydney"/>
    <x v="1"/>
    <x v="0"/>
    <x v="9"/>
    <x v="0"/>
    <x v="86"/>
    <x v="0"/>
    <s v="Small Box"/>
    <x v="0"/>
    <d v="2016-08-09T00:00:00"/>
    <n v="2.4500000000000002"/>
    <n v="3.89"/>
    <n v="1.44"/>
    <n v="18"/>
    <n v="70.02"/>
    <n v="0.04"/>
    <n v="2.8007999999999997"/>
    <n v="67.219200000000001"/>
    <n v="7.01"/>
    <n v="74.229200000000006"/>
  </r>
  <r>
    <s v="6369-1"/>
    <d v="2016-08-11T00:00:00"/>
    <x v="3"/>
    <x v="445"/>
    <s v="8 Quay Street,Haymarket"/>
    <s v="Sydney"/>
    <x v="1"/>
    <x v="2"/>
    <x v="2"/>
    <x v="0"/>
    <x v="97"/>
    <x v="0"/>
    <s v="Small Box"/>
    <x v="0"/>
    <d v="2016-08-13T00:00:00"/>
    <n v="2.29"/>
    <n v="3.69"/>
    <n v="1.4"/>
    <n v="13"/>
    <n v="47.97"/>
    <n v="0.04"/>
    <n v="1.9188000000000001"/>
    <n v="46.051200000000001"/>
    <n v="0.5"/>
    <n v="46.551200000000001"/>
  </r>
  <r>
    <s v="6370-1"/>
    <d v="2016-08-11T00:00:00"/>
    <x v="3"/>
    <x v="438"/>
    <s v="6/15 Cross Street,Double Bay"/>
    <s v="Sydney"/>
    <x v="1"/>
    <x v="1"/>
    <x v="2"/>
    <x v="4"/>
    <x v="65"/>
    <x v="0"/>
    <s v="Wrap Bag"/>
    <x v="0"/>
    <d v="2016-08-13T00:00:00"/>
    <n v="0.24"/>
    <n v="1.26"/>
    <n v="1.02"/>
    <n v="34"/>
    <n v="42.84"/>
    <n v="0"/>
    <n v="0"/>
    <n v="42.84"/>
    <n v="0.7"/>
    <n v="43.540000000000006"/>
  </r>
  <r>
    <s v="6371-1"/>
    <d v="2016-08-15T00:00:00"/>
    <x v="3"/>
    <x v="334"/>
    <s v="1 John St,Waterloo"/>
    <s v="Sydney"/>
    <x v="1"/>
    <x v="1"/>
    <x v="10"/>
    <x v="2"/>
    <x v="86"/>
    <x v="0"/>
    <s v="Small Box"/>
    <x v="1"/>
    <d v="2016-08-20T00:00:00"/>
    <n v="2.4500000000000002"/>
    <n v="3.89"/>
    <n v="1.44"/>
    <n v="30"/>
    <n v="116.7"/>
    <n v="0.09"/>
    <n v="10.503"/>
    <n v="106.197"/>
    <n v="7.01"/>
    <n v="113.20700000000001"/>
  </r>
  <r>
    <s v="6373-1"/>
    <d v="2016-08-17T00:00:00"/>
    <x v="3"/>
    <x v="310"/>
    <s v="506 Swan Street,Richmond"/>
    <s v="Melbourne"/>
    <x v="0"/>
    <x v="2"/>
    <x v="1"/>
    <x v="0"/>
    <x v="52"/>
    <x v="0"/>
    <s v="Wrap Bag"/>
    <x v="0"/>
    <d v="2016-08-18T00:00:00"/>
    <n v="2.9"/>
    <n v="4.76"/>
    <n v="1.8599999999999999"/>
    <n v="1"/>
    <n v="4.76"/>
    <n v="0.02"/>
    <n v="9.5199999999999993E-2"/>
    <n v="4.6647999999999996"/>
    <n v="0.88"/>
    <n v="5.5447999999999995"/>
  </r>
  <r>
    <s v="6374-1"/>
    <d v="2016-08-18T00:00:00"/>
    <x v="3"/>
    <x v="476"/>
    <s v="14 Money Street"/>
    <s v="Perth"/>
    <x v="2"/>
    <x v="0"/>
    <x v="4"/>
    <x v="0"/>
    <x v="94"/>
    <x v="0"/>
    <s v="Small Box"/>
    <x v="1"/>
    <d v="2016-08-20T00:00:00"/>
    <n v="4.53"/>
    <n v="7.3"/>
    <n v="2.7699999999999996"/>
    <n v="41"/>
    <n v="299.3"/>
    <n v="0.05"/>
    <n v="14.965000000000002"/>
    <n v="284.33500000000004"/>
    <n v="7.72"/>
    <n v="292.05500000000006"/>
  </r>
  <r>
    <s v="6376-1"/>
    <d v="2016-08-18T00:00:00"/>
    <x v="3"/>
    <x v="442"/>
    <s v="99 Lygon Street,East Brunswick"/>
    <s v="Melbourne"/>
    <x v="0"/>
    <x v="0"/>
    <x v="1"/>
    <x v="2"/>
    <x v="43"/>
    <x v="0"/>
    <s v="Small Box"/>
    <x v="0"/>
    <d v="2016-08-22T00:00:00"/>
    <n v="2.25"/>
    <n v="3.69"/>
    <n v="1.44"/>
    <n v="16"/>
    <n v="59.04"/>
    <n v="0.02"/>
    <n v="1.1808000000000001"/>
    <n v="57.859200000000001"/>
    <n v="2.5"/>
    <n v="60.359200000000001"/>
  </r>
  <r>
    <s v="6377-1"/>
    <d v="2016-08-20T00:00:00"/>
    <x v="3"/>
    <x v="277"/>
    <s v="221 Barkly St,St Kilda"/>
    <s v="Melbourne"/>
    <x v="0"/>
    <x v="2"/>
    <x v="0"/>
    <x v="2"/>
    <x v="108"/>
    <x v="0"/>
    <s v="Wrap Bag"/>
    <x v="0"/>
    <d v="2016-08-25T00:00:00"/>
    <n v="2.31"/>
    <n v="3.78"/>
    <n v="1.4699999999999998"/>
    <n v="28"/>
    <n v="105.83999999999999"/>
    <n v="0.06"/>
    <n v="6.3503999999999987"/>
    <n v="99.489599999999996"/>
    <n v="0.71"/>
    <n v="100.19959999999999"/>
  </r>
  <r>
    <s v="6379-1"/>
    <d v="2016-08-23T00:00:00"/>
    <x v="3"/>
    <x v="272"/>
    <s v="531 King St,Newtown"/>
    <s v="Sydney"/>
    <x v="1"/>
    <x v="1"/>
    <x v="11"/>
    <x v="3"/>
    <x v="55"/>
    <x v="0"/>
    <s v="Wrap Bag"/>
    <x v="0"/>
    <d v="2016-08-25T00:00:00"/>
    <n v="11.11"/>
    <n v="19.84"/>
    <n v="8.73"/>
    <n v="22"/>
    <n v="436.48"/>
    <n v="0.06"/>
    <n v="26.188800000000001"/>
    <n v="410.2912"/>
    <n v="4.0999999999999996"/>
    <n v="414.39120000000003"/>
  </r>
  <r>
    <s v="6380-1"/>
    <d v="2016-08-24T00:00:00"/>
    <x v="3"/>
    <x v="309"/>
    <s v="5/250 Old Northern Road ,Castle Hill"/>
    <s v="Sydney"/>
    <x v="1"/>
    <x v="0"/>
    <x v="3"/>
    <x v="2"/>
    <x v="33"/>
    <x v="1"/>
    <s v="Small Box"/>
    <x v="0"/>
    <d v="2016-08-24T00:00:00"/>
    <n v="19.78"/>
    <n v="45.99"/>
    <n v="26.21"/>
    <n v="46"/>
    <n v="2115.54"/>
    <n v="0.1"/>
    <n v="211.554"/>
    <n v="1903.9859999999999"/>
    <n v="4.99"/>
    <n v="1908.9759999999999"/>
  </r>
  <r>
    <s v="6382-1"/>
    <d v="2016-08-24T00:00:00"/>
    <x v="3"/>
    <x v="172"/>
    <s v="541 Church St,Richmond"/>
    <s v="Melbourne"/>
    <x v="0"/>
    <x v="3"/>
    <x v="0"/>
    <x v="3"/>
    <x v="22"/>
    <x v="0"/>
    <s v="Small Box"/>
    <x v="0"/>
    <d v="2016-08-27T00:00:00"/>
    <n v="1.59"/>
    <n v="2.61"/>
    <n v="1.0199999999999998"/>
    <n v="34"/>
    <n v="88.74"/>
    <n v="0"/>
    <n v="0"/>
    <n v="88.74"/>
    <n v="0.5"/>
    <n v="89.24"/>
  </r>
  <r>
    <s v="6384-1"/>
    <d v="2016-08-24T00:00:00"/>
    <x v="3"/>
    <x v="125"/>
    <s v="14 Knebworth Avenue"/>
    <s v="Perth"/>
    <x v="2"/>
    <x v="0"/>
    <x v="13"/>
    <x v="2"/>
    <x v="110"/>
    <x v="1"/>
    <s v="Large Box"/>
    <x v="0"/>
    <d v="2016-09-02T00:00:00"/>
    <n v="377.99"/>
    <n v="599.99"/>
    <n v="222"/>
    <n v="16"/>
    <n v="9599.84"/>
    <n v="0"/>
    <n v="0"/>
    <n v="9599.84"/>
    <n v="24.49"/>
    <n v="9624.33"/>
  </r>
  <r>
    <s v="6384-2"/>
    <d v="2016-08-24T00:00:00"/>
    <x v="3"/>
    <x v="125"/>
    <s v="14 Knebworth Avenue"/>
    <s v="Perth"/>
    <x v="2"/>
    <x v="0"/>
    <x v="13"/>
    <x v="2"/>
    <x v="55"/>
    <x v="0"/>
    <s v="Wrap Bag"/>
    <x v="0"/>
    <d v="2016-09-02T00:00:00"/>
    <n v="11.11"/>
    <n v="19.84"/>
    <n v="8.73"/>
    <n v="39"/>
    <n v="773.76"/>
    <n v="0.01"/>
    <n v="7.7376000000000005"/>
    <n v="766.02239999999995"/>
    <n v="4.0999999999999996"/>
    <n v="770.12239999999997"/>
  </r>
  <r>
    <s v="6387-1"/>
    <d v="2016-08-24T00:00:00"/>
    <x v="3"/>
    <x v="461"/>
    <s v="Shop 3/144 Waterloo Road,Greenacre"/>
    <s v="Sydney"/>
    <x v="1"/>
    <x v="3"/>
    <x v="6"/>
    <x v="4"/>
    <x v="76"/>
    <x v="0"/>
    <s v="Wrap Bag"/>
    <x v="0"/>
    <d v="2016-08-24T00:00:00"/>
    <n v="1.53"/>
    <n v="2.78"/>
    <n v="1.2499999999999998"/>
    <n v="23"/>
    <n v="63.94"/>
    <n v="0.01"/>
    <n v="0.63939999999999997"/>
    <n v="63.300599999999996"/>
    <n v="1.34"/>
    <n v="64.640599999999992"/>
  </r>
  <r>
    <s v="6388-1"/>
    <d v="2016-08-24T00:00:00"/>
    <x v="3"/>
    <x v="28"/>
    <s v="499-501 Lygon Street,Carlton North"/>
    <s v="Melbourne"/>
    <x v="0"/>
    <x v="1"/>
    <x v="0"/>
    <x v="4"/>
    <x v="59"/>
    <x v="0"/>
    <s v="Small Box"/>
    <x v="0"/>
    <d v="2016-08-25T00:00:00"/>
    <n v="16.850000000000001"/>
    <n v="27.18"/>
    <n v="10.329999999999998"/>
    <n v="50"/>
    <n v="1359"/>
    <n v="0.02"/>
    <n v="27.18"/>
    <n v="1331.82"/>
    <n v="8.23"/>
    <n v="1340.05"/>
  </r>
  <r>
    <s v="6389-1"/>
    <d v="2016-08-27T00:00:00"/>
    <x v="3"/>
    <x v="415"/>
    <s v="501 George St,Sydney"/>
    <s v="Sydney"/>
    <x v="1"/>
    <x v="1"/>
    <x v="6"/>
    <x v="0"/>
    <x v="85"/>
    <x v="0"/>
    <s v="Small Pack"/>
    <x v="1"/>
    <d v="2016-08-28T00:00:00"/>
    <n v="5.19"/>
    <n v="12.98"/>
    <n v="7.79"/>
    <n v="42"/>
    <n v="545.16"/>
    <n v="0.05"/>
    <n v="27.257999999999999"/>
    <n v="517.90199999999993"/>
    <n v="3.14"/>
    <n v="521.04199999999992"/>
  </r>
  <r>
    <s v="6390-1"/>
    <d v="2016-08-31T00:00:00"/>
    <x v="3"/>
    <x v="495"/>
    <s v="7 Khartoum Rd,Macquarie Park"/>
    <s v="Sydney"/>
    <x v="1"/>
    <x v="2"/>
    <x v="12"/>
    <x v="1"/>
    <x v="87"/>
    <x v="0"/>
    <s v="Wrap Bag"/>
    <x v="0"/>
    <d v="2016-09-02T00:00:00"/>
    <n v="3.32"/>
    <n v="5.18"/>
    <n v="1.8599999999999999"/>
    <n v="32"/>
    <n v="165.76"/>
    <n v="0.06"/>
    <n v="9.9455999999999989"/>
    <n v="155.81439999999998"/>
    <n v="2.04"/>
    <n v="157.85439999999997"/>
  </r>
  <r>
    <s v="6391-1"/>
    <d v="2016-09-03T00:00:00"/>
    <x v="3"/>
    <x v="505"/>
    <s v="Westfield Miranda, 600 Kingsway,Miranda"/>
    <s v="Sydney"/>
    <x v="1"/>
    <x v="1"/>
    <x v="12"/>
    <x v="3"/>
    <x v="25"/>
    <x v="1"/>
    <s v="Small Box"/>
    <x v="0"/>
    <d v="2016-09-05T00:00:00"/>
    <n v="10.07"/>
    <n v="15.98"/>
    <n v="5.91"/>
    <n v="30"/>
    <n v="479.40000000000003"/>
    <n v="0.08"/>
    <n v="38.352000000000004"/>
    <n v="441.048"/>
    <n v="4"/>
    <n v="445.048"/>
  </r>
  <r>
    <s v="6392-1"/>
    <d v="2016-09-04T00:00:00"/>
    <x v="3"/>
    <x v="506"/>
    <s v="531 King St,Newtown"/>
    <s v="Sydney"/>
    <x v="1"/>
    <x v="3"/>
    <x v="11"/>
    <x v="4"/>
    <x v="40"/>
    <x v="0"/>
    <s v="Small Box"/>
    <x v="0"/>
    <d v="2016-09-07T00:00:00"/>
    <n v="3.84"/>
    <n v="6.3"/>
    <n v="2.46"/>
    <n v="40"/>
    <n v="252"/>
    <n v="0.04"/>
    <n v="10.08"/>
    <n v="241.92"/>
    <n v="0.5"/>
    <n v="242.42"/>
  </r>
  <r>
    <s v="6393-1"/>
    <d v="2016-09-05T00:00:00"/>
    <x v="3"/>
    <x v="149"/>
    <s v="22 Civic Rd,Auburn"/>
    <s v="Sydney"/>
    <x v="1"/>
    <x v="2"/>
    <x v="11"/>
    <x v="4"/>
    <x v="108"/>
    <x v="0"/>
    <s v="Wrap Bag"/>
    <x v="0"/>
    <d v="2016-09-07T00:00:00"/>
    <n v="2.31"/>
    <n v="3.78"/>
    <n v="1.4699999999999998"/>
    <n v="38"/>
    <n v="143.63999999999999"/>
    <n v="0.03"/>
    <n v="4.3091999999999997"/>
    <n v="139.33079999999998"/>
    <n v="0.71"/>
    <n v="140.04079999999999"/>
  </r>
  <r>
    <s v="6394-1"/>
    <d v="2016-09-06T00:00:00"/>
    <x v="3"/>
    <x v="189"/>
    <s v="53-55 Liverpool St,Sydney"/>
    <s v="Sydney"/>
    <x v="1"/>
    <x v="0"/>
    <x v="8"/>
    <x v="4"/>
    <x v="93"/>
    <x v="1"/>
    <s v="Small Box"/>
    <x v="1"/>
    <d v="2016-09-08T00:00:00"/>
    <n v="62.4"/>
    <n v="155.99"/>
    <n v="93.59"/>
    <n v="22"/>
    <n v="3431.78"/>
    <n v="0.02"/>
    <n v="68.635600000000011"/>
    <n v="3363.1444000000001"/>
    <n v="8.08"/>
    <n v="3371.2244000000001"/>
  </r>
  <r>
    <s v="6395-1"/>
    <d v="2016-09-06T00:00:00"/>
    <x v="3"/>
    <x v="56"/>
    <s v="188 Pitt Street,Sydney"/>
    <s v="Sydney"/>
    <x v="1"/>
    <x v="3"/>
    <x v="8"/>
    <x v="0"/>
    <x v="105"/>
    <x v="0"/>
    <s v="Wrap Bag"/>
    <x v="0"/>
    <d v="2016-09-08T00:00:00"/>
    <n v="1.92"/>
    <n v="3.26"/>
    <n v="1.3399999999999999"/>
    <n v="38"/>
    <n v="123.88"/>
    <n v="0.02"/>
    <n v="2.4775999999999998"/>
    <n v="121.4024"/>
    <n v="1.86"/>
    <n v="123.2624"/>
  </r>
  <r>
    <s v="6396-1"/>
    <d v="2016-09-13T00:00:00"/>
    <x v="3"/>
    <x v="17"/>
    <s v="188 Pitt Street,Sydney"/>
    <s v="Sydney"/>
    <x v="1"/>
    <x v="3"/>
    <x v="8"/>
    <x v="2"/>
    <x v="135"/>
    <x v="0"/>
    <s v="Small Box"/>
    <x v="1"/>
    <d v="2016-09-20T00:00:00"/>
    <n v="4.03"/>
    <n v="9.3800000000000008"/>
    <n v="5.3500000000000005"/>
    <n v="46"/>
    <n v="431.48"/>
    <n v="0.09"/>
    <n v="38.833199999999998"/>
    <n v="392.64680000000004"/>
    <n v="7.28"/>
    <n v="399.92680000000001"/>
  </r>
  <r>
    <s v="6397-1"/>
    <d v="2016-09-14T00:00:00"/>
    <x v="3"/>
    <x v="507"/>
    <s v="221 Barkly St,St Kilda"/>
    <s v="Melbourne"/>
    <x v="0"/>
    <x v="0"/>
    <x v="0"/>
    <x v="0"/>
    <x v="100"/>
    <x v="0"/>
    <s v="Wrap Bag"/>
    <x v="0"/>
    <d v="2016-09-16T00:00:00"/>
    <n v="1.76"/>
    <n v="2.94"/>
    <n v="1.18"/>
    <n v="26"/>
    <n v="76.44"/>
    <n v="0.03"/>
    <n v="2.2931999999999997"/>
    <n v="74.146799999999999"/>
    <n v="0.81"/>
    <n v="74.956800000000001"/>
  </r>
  <r>
    <s v="6399-1"/>
    <d v="2016-09-15T00:00:00"/>
    <x v="3"/>
    <x v="195"/>
    <s v="21 Wentworth St,Parramatta"/>
    <s v="Sydney"/>
    <x v="1"/>
    <x v="3"/>
    <x v="9"/>
    <x v="0"/>
    <x v="109"/>
    <x v="1"/>
    <s v="Jumbo Drum"/>
    <x v="2"/>
    <d v="2016-09-16T00:00:00"/>
    <n v="219.61"/>
    <n v="535.64"/>
    <n v="316.02999999999997"/>
    <n v="44"/>
    <n v="23568.16"/>
    <n v="0.03"/>
    <n v="707.04480000000001"/>
    <n v="22861.1152"/>
    <n v="14.7"/>
    <n v="22875.815200000001"/>
  </r>
  <r>
    <s v="6401-1"/>
    <d v="2016-09-17T00:00:00"/>
    <x v="3"/>
    <x v="296"/>
    <s v="Hoyts Entertainment Quarter 122 Lang Road,Moore Park"/>
    <s v="Sydney"/>
    <x v="1"/>
    <x v="0"/>
    <x v="8"/>
    <x v="2"/>
    <x v="23"/>
    <x v="1"/>
    <s v="Small Box"/>
    <x v="0"/>
    <d v="2016-09-19T00:00:00"/>
    <n v="6.39"/>
    <n v="19.98"/>
    <n v="13.59"/>
    <n v="44"/>
    <n v="879.12"/>
    <n v="0.03"/>
    <n v="26.3736"/>
    <n v="852.74639999999999"/>
    <n v="4"/>
    <n v="856.74639999999999"/>
  </r>
  <r>
    <s v="6402-1"/>
    <d v="2016-09-18T00:00:00"/>
    <x v="3"/>
    <x v="113"/>
    <s v="38/133-145 Castlereagh St,Sydney"/>
    <s v="Sydney"/>
    <x v="1"/>
    <x v="2"/>
    <x v="5"/>
    <x v="2"/>
    <x v="106"/>
    <x v="0"/>
    <s v="Small Box"/>
    <x v="0"/>
    <d v="2016-09-18T00:00:00"/>
    <n v="3.14"/>
    <n v="4.91"/>
    <n v="1.77"/>
    <n v="13"/>
    <n v="63.83"/>
    <n v="0.01"/>
    <n v="0.63829999999999998"/>
    <n v="63.191699999999997"/>
    <n v="0.5"/>
    <n v="63.691699999999997"/>
  </r>
  <r>
    <s v="6403-1"/>
    <d v="2016-09-18T00:00:00"/>
    <x v="3"/>
    <x v="418"/>
    <s v="7 Khartoum Rd,Macquarie Park"/>
    <s v="Sydney"/>
    <x v="1"/>
    <x v="3"/>
    <x v="12"/>
    <x v="4"/>
    <x v="9"/>
    <x v="0"/>
    <s v="Small Box"/>
    <x v="0"/>
    <d v="2016-09-20T00:00:00"/>
    <n v="5.33"/>
    <n v="8.6"/>
    <n v="3.2699999999999996"/>
    <n v="2"/>
    <n v="17.2"/>
    <n v="0.03"/>
    <n v="0.51600000000000001"/>
    <n v="16.683999999999997"/>
    <n v="6.19"/>
    <n v="22.873999999999999"/>
  </r>
  <r>
    <s v="6403-2"/>
    <d v="2016-09-18T00:00:00"/>
    <x v="3"/>
    <x v="418"/>
    <s v="7 Khartoum Rd,Macquarie Park"/>
    <s v="Sydney"/>
    <x v="1"/>
    <x v="3"/>
    <x v="12"/>
    <x v="4"/>
    <x v="82"/>
    <x v="0"/>
    <s v="Small Box"/>
    <x v="0"/>
    <d v="2016-09-19T00:00:00"/>
    <n v="67.73"/>
    <n v="165.2"/>
    <n v="97.469999999999985"/>
    <n v="10"/>
    <n v="1652"/>
    <n v="0.08"/>
    <n v="132.16"/>
    <n v="1519.84"/>
    <n v="19.989999999999998"/>
    <n v="1539.83"/>
  </r>
  <r>
    <s v="6407-1"/>
    <d v="2016-09-20T00:00:00"/>
    <x v="3"/>
    <x v="183"/>
    <s v="14 Knebworth Avenue, Perth"/>
    <s v="Melbourne"/>
    <x v="0"/>
    <x v="3"/>
    <x v="1"/>
    <x v="2"/>
    <x v="26"/>
    <x v="0"/>
    <s v="Small Pack"/>
    <x v="0"/>
    <d v="2016-09-20T00:00:00"/>
    <n v="4.79"/>
    <n v="11.97"/>
    <n v="7.1800000000000006"/>
    <n v="38"/>
    <n v="454.86"/>
    <n v="0.02"/>
    <n v="9.0972000000000008"/>
    <n v="445.76280000000003"/>
    <n v="5.81"/>
    <n v="451.57280000000003"/>
  </r>
  <r>
    <s v="6409-1"/>
    <d v="2016-09-20T00:00:00"/>
    <x v="3"/>
    <x v="496"/>
    <s v="Macquarie Centre Cnr Herring Road &amp; Waterloo Road,Macquarie Park"/>
    <s v="Sydney"/>
    <x v="1"/>
    <x v="2"/>
    <x v="3"/>
    <x v="2"/>
    <x v="47"/>
    <x v="0"/>
    <s v="Wrap Bag"/>
    <x v="0"/>
    <d v="2016-09-20T00:00:00"/>
    <n v="3.48"/>
    <n v="5.43"/>
    <n v="1.9499999999999997"/>
    <n v="12"/>
    <n v="65.16"/>
    <n v="0.01"/>
    <n v="0.65159999999999996"/>
    <n v="64.508399999999995"/>
    <n v="0.95"/>
    <n v="65.458399999999997"/>
  </r>
  <r>
    <s v="6411-1"/>
    <d v="2016-09-21T00:00:00"/>
    <x v="3"/>
    <x v="145"/>
    <s v="1/173-179 Bronte Rd,Waverley"/>
    <s v="Sydney"/>
    <x v="1"/>
    <x v="1"/>
    <x v="2"/>
    <x v="4"/>
    <x v="86"/>
    <x v="0"/>
    <s v="Small Box"/>
    <x v="0"/>
    <d v="2016-09-21T00:00:00"/>
    <n v="2.4500000000000002"/>
    <n v="3.89"/>
    <n v="1.44"/>
    <n v="50"/>
    <n v="194.5"/>
    <n v="0.08"/>
    <n v="15.56"/>
    <n v="178.94"/>
    <n v="7.01"/>
    <n v="185.95"/>
  </r>
  <r>
    <s v="6413-1"/>
    <d v="2016-09-22T00:00:00"/>
    <x v="3"/>
    <x v="397"/>
    <s v="180 High Street,Windsor"/>
    <s v="Melbourne"/>
    <x v="0"/>
    <x v="3"/>
    <x v="1"/>
    <x v="4"/>
    <x v="20"/>
    <x v="0"/>
    <s v="Wrap Bag"/>
    <x v="0"/>
    <d v="2016-09-23T00:00:00"/>
    <n v="2.52"/>
    <n v="4"/>
    <n v="1.48"/>
    <n v="22"/>
    <n v="88"/>
    <n v="0.09"/>
    <n v="7.92"/>
    <n v="80.08"/>
    <n v="1.3"/>
    <n v="81.38"/>
  </r>
  <r>
    <s v="6414-1"/>
    <d v="2016-09-23T00:00:00"/>
    <x v="3"/>
    <x v="508"/>
    <s v="10 O'Connell St,Sydney"/>
    <s v="Sydney"/>
    <x v="1"/>
    <x v="3"/>
    <x v="9"/>
    <x v="4"/>
    <x v="54"/>
    <x v="0"/>
    <s v="Small Box"/>
    <x v="0"/>
    <d v="2016-09-26T00:00:00"/>
    <n v="3.4"/>
    <n v="5.4"/>
    <n v="2.0000000000000004"/>
    <n v="38"/>
    <n v="205.20000000000002"/>
    <n v="0.03"/>
    <n v="6.1560000000000006"/>
    <n v="199.04400000000001"/>
    <n v="7.78"/>
    <n v="206.82400000000001"/>
  </r>
  <r>
    <s v="6415-1"/>
    <d v="2016-09-25T00:00:00"/>
    <x v="3"/>
    <x v="107"/>
    <s v="37/59 Brewer Street"/>
    <s v="Perth"/>
    <x v="2"/>
    <x v="1"/>
    <x v="8"/>
    <x v="1"/>
    <x v="71"/>
    <x v="0"/>
    <s v="Small Box"/>
    <x v="0"/>
    <d v="2016-09-26T00:00:00"/>
    <n v="4.46"/>
    <n v="10.89"/>
    <n v="6.4300000000000006"/>
    <n v="19"/>
    <n v="206.91000000000003"/>
    <n v="7.0000000000000007E-2"/>
    <n v="14.483700000000002"/>
    <n v="192.42630000000003"/>
    <n v="4.5"/>
    <n v="196.92630000000003"/>
  </r>
  <r>
    <s v="6417-1"/>
    <d v="2016-09-26T00:00:00"/>
    <x v="3"/>
    <x v="246"/>
    <s v="30 Wellington Street"/>
    <s v="Perth"/>
    <x v="2"/>
    <x v="3"/>
    <x v="8"/>
    <x v="4"/>
    <x v="31"/>
    <x v="0"/>
    <s v="Small Box"/>
    <x v="0"/>
    <d v="2016-09-28T00:00:00"/>
    <n v="13.88"/>
    <n v="22.38"/>
    <n v="8.4999999999999982"/>
    <n v="34"/>
    <n v="760.92"/>
    <n v="7.0000000000000007E-2"/>
    <n v="53.264400000000002"/>
    <n v="707.65559999999994"/>
    <n v="15.1"/>
    <n v="722.75559999999996"/>
  </r>
  <r>
    <s v="6417-2"/>
    <d v="2016-09-26T00:00:00"/>
    <x v="3"/>
    <x v="246"/>
    <s v="31 Wellington Street"/>
    <s v="Perth"/>
    <x v="2"/>
    <x v="3"/>
    <x v="8"/>
    <x v="4"/>
    <x v="130"/>
    <x v="1"/>
    <s v="Small Box"/>
    <x v="1"/>
    <d v="2016-09-27T00:00:00"/>
    <n v="14.7"/>
    <n v="29.99"/>
    <n v="15.29"/>
    <n v="36"/>
    <n v="1079.6399999999999"/>
    <n v="0.03"/>
    <n v="32.389199999999995"/>
    <n v="1047.2507999999998"/>
    <n v="5.5"/>
    <n v="1052.7507999999998"/>
  </r>
  <r>
    <s v="6418-1"/>
    <d v="2016-09-26T00:00:00"/>
    <x v="3"/>
    <x v="225"/>
    <s v="99 Lygon Street,East Brunswick"/>
    <s v="Melbourne"/>
    <x v="0"/>
    <x v="1"/>
    <x v="1"/>
    <x v="2"/>
    <x v="118"/>
    <x v="0"/>
    <s v="Small Box"/>
    <x v="0"/>
    <d v="2016-10-05T00:00:00"/>
    <n v="21.97"/>
    <n v="35.44"/>
    <n v="13.469999999999999"/>
    <n v="44"/>
    <n v="1559.36"/>
    <n v="0.01"/>
    <n v="15.593599999999999"/>
    <n v="1543.7664"/>
    <n v="4.92"/>
    <n v="1548.6864"/>
  </r>
  <r>
    <s v="6422-1"/>
    <d v="2016-09-28T00:00:00"/>
    <x v="3"/>
    <x v="33"/>
    <s v="1-2/299 Sussex St,Sydney"/>
    <s v="Sydney"/>
    <x v="1"/>
    <x v="3"/>
    <x v="9"/>
    <x v="0"/>
    <x v="51"/>
    <x v="0"/>
    <s v="Small Box"/>
    <x v="0"/>
    <d v="2016-09-30T00:00:00"/>
    <n v="19.829999999999998"/>
    <n v="30.98"/>
    <n v="11.150000000000002"/>
    <n v="30"/>
    <n v="929.4"/>
    <n v="0.03"/>
    <n v="27.881999999999998"/>
    <n v="901.51800000000003"/>
    <n v="19.510000000000002"/>
    <n v="921.02800000000002"/>
  </r>
  <r>
    <s v="6423-1"/>
    <d v="2016-09-30T00:00:00"/>
    <x v="3"/>
    <x v="24"/>
    <s v="240-242 Johnston Street,Fitzroy"/>
    <s v="Melbourne"/>
    <x v="0"/>
    <x v="3"/>
    <x v="1"/>
    <x v="0"/>
    <x v="14"/>
    <x v="0"/>
    <s v="Small Box"/>
    <x v="0"/>
    <d v="2016-10-02T00:00:00"/>
    <n v="4.59"/>
    <n v="7.28"/>
    <n v="2.6900000000000004"/>
    <n v="50"/>
    <n v="364"/>
    <n v="0.01"/>
    <n v="3.64"/>
    <n v="360.36"/>
    <n v="11.15"/>
    <n v="371.51"/>
  </r>
  <r>
    <s v="6425-1"/>
    <d v="2016-10-01T00:00:00"/>
    <x v="3"/>
    <x v="160"/>
    <s v="Macquarie Centre Cnr Herring Road &amp; Waterloo Road,Macquarie Park"/>
    <s v="Sydney"/>
    <x v="1"/>
    <x v="3"/>
    <x v="3"/>
    <x v="4"/>
    <x v="51"/>
    <x v="0"/>
    <s v="Small Box"/>
    <x v="0"/>
    <d v="2016-10-02T00:00:00"/>
    <n v="19.829999999999998"/>
    <n v="30.98"/>
    <n v="11.150000000000002"/>
    <n v="37"/>
    <n v="1146.26"/>
    <n v="0.01"/>
    <n v="11.4626"/>
    <n v="1134.7973999999999"/>
    <n v="19.510000000000002"/>
    <n v="1154.3073999999999"/>
  </r>
  <r>
    <s v="6426-1"/>
    <d v="2016-10-01T00:00:00"/>
    <x v="3"/>
    <x v="509"/>
    <s v="Westfield 1 Anderson St,Chatswood"/>
    <s v="Sydney"/>
    <x v="1"/>
    <x v="0"/>
    <x v="3"/>
    <x v="4"/>
    <x v="15"/>
    <x v="0"/>
    <s v="Wrap Bag"/>
    <x v="0"/>
    <d v="2016-10-02T00:00:00"/>
    <n v="1.3"/>
    <n v="2.88"/>
    <n v="1.5799999999999998"/>
    <n v="46"/>
    <n v="132.47999999999999"/>
    <n v="0.05"/>
    <n v="6.6239999999999997"/>
    <n v="125.85599999999999"/>
    <n v="1.01"/>
    <n v="126.866"/>
  </r>
  <r>
    <s v="6427-1"/>
    <d v="2016-10-06T00:00:00"/>
    <x v="3"/>
    <x v="11"/>
    <s v="61A Bay Road,Wollstonecraft"/>
    <s v="Sydney"/>
    <x v="1"/>
    <x v="1"/>
    <x v="6"/>
    <x v="0"/>
    <x v="18"/>
    <x v="0"/>
    <s v="Small Box"/>
    <x v="0"/>
    <d v="2016-10-08T00:00:00"/>
    <n v="3.52"/>
    <n v="5.68"/>
    <n v="2.1599999999999997"/>
    <n v="23"/>
    <n v="130.63999999999999"/>
    <n v="0.02"/>
    <n v="2.6127999999999996"/>
    <n v="128.02719999999999"/>
    <n v="1.39"/>
    <n v="129.41719999999998"/>
  </r>
  <r>
    <s v="6429-1"/>
    <d v="2016-10-08T00:00:00"/>
    <x v="3"/>
    <x v="139"/>
    <s v="101 Murray Street"/>
    <s v="Perth"/>
    <x v="2"/>
    <x v="1"/>
    <x v="8"/>
    <x v="0"/>
    <x v="95"/>
    <x v="0"/>
    <s v="Small Box"/>
    <x v="0"/>
    <d v="2016-10-08T00:00:00"/>
    <n v="11.04"/>
    <n v="16.98"/>
    <n v="5.9400000000000013"/>
    <n v="43"/>
    <n v="730.14"/>
    <n v="0.09"/>
    <n v="65.712599999999995"/>
    <n v="664.42740000000003"/>
    <n v="12.39"/>
    <n v="676.81740000000002"/>
  </r>
  <r>
    <s v="6430-1"/>
    <d v="2016-10-11T00:00:00"/>
    <x v="3"/>
    <x v="102"/>
    <s v="499-501 Lygon Street,Carlton North"/>
    <s v="Melbourne"/>
    <x v="0"/>
    <x v="3"/>
    <x v="0"/>
    <x v="2"/>
    <x v="108"/>
    <x v="0"/>
    <s v="Wrap Bag"/>
    <x v="0"/>
    <d v="2016-10-15T00:00:00"/>
    <n v="2.31"/>
    <n v="3.78"/>
    <n v="1.4699999999999998"/>
    <n v="22"/>
    <n v="83.16"/>
    <n v="0.1"/>
    <n v="8.3160000000000007"/>
    <n v="74.843999999999994"/>
    <n v="0.71"/>
    <n v="75.553999999999988"/>
  </r>
  <r>
    <s v="6432-1"/>
    <d v="2016-10-12T00:00:00"/>
    <x v="3"/>
    <x v="498"/>
    <s v="412 Brunswick St,Fitzroy"/>
    <s v="Melbourne"/>
    <x v="0"/>
    <x v="0"/>
    <x v="1"/>
    <x v="3"/>
    <x v="8"/>
    <x v="0"/>
    <s v="Small Box"/>
    <x v="0"/>
    <d v="2016-10-14T00:00:00"/>
    <n v="54.29"/>
    <n v="90.48"/>
    <n v="36.190000000000005"/>
    <n v="25"/>
    <n v="2262"/>
    <n v="0.02"/>
    <n v="45.24"/>
    <n v="2216.7600000000002"/>
    <n v="19.989999999999998"/>
    <n v="2236.75"/>
  </r>
  <r>
    <s v="6433-1"/>
    <d v="2016-10-13T00:00:00"/>
    <x v="3"/>
    <x v="427"/>
    <s v="106 Ebley Street,Bondi Junction"/>
    <s v="Sydney"/>
    <x v="1"/>
    <x v="1"/>
    <x v="2"/>
    <x v="2"/>
    <x v="59"/>
    <x v="0"/>
    <s v="Small Box"/>
    <x v="0"/>
    <d v="2016-10-18T00:00:00"/>
    <n v="16.850000000000001"/>
    <n v="27.18"/>
    <n v="10.329999999999998"/>
    <n v="38"/>
    <n v="1032.8399999999999"/>
    <n v="0.01"/>
    <n v="10.3284"/>
    <n v="1022.5115999999999"/>
    <n v="8.23"/>
    <n v="1030.7415999999998"/>
  </r>
  <r>
    <s v="6434-1"/>
    <d v="2016-10-14T00:00:00"/>
    <x v="3"/>
    <x v="109"/>
    <s v="Hoyts Entertainment Quarter 122 Lang Road,Moore Park"/>
    <s v="Sydney"/>
    <x v="1"/>
    <x v="3"/>
    <x v="8"/>
    <x v="4"/>
    <x v="23"/>
    <x v="1"/>
    <s v="Small Box"/>
    <x v="0"/>
    <d v="2016-10-17T00:00:00"/>
    <n v="6.39"/>
    <n v="19.98"/>
    <n v="13.59"/>
    <n v="9"/>
    <n v="179.82"/>
    <n v="0.06"/>
    <n v="10.789199999999999"/>
    <n v="169.0308"/>
    <n v="4"/>
    <n v="173.0308"/>
  </r>
  <r>
    <s v="6436-1"/>
    <d v="2016-10-15T00:00:00"/>
    <x v="3"/>
    <x v="303"/>
    <s v="65 Palmerston Street, Perth"/>
    <s v="Melbourne"/>
    <x v="0"/>
    <x v="1"/>
    <x v="0"/>
    <x v="3"/>
    <x v="84"/>
    <x v="2"/>
    <s v="Large Box"/>
    <x v="0"/>
    <d v="2016-10-15T00:00:00"/>
    <n v="56.16"/>
    <n v="136.97999999999999"/>
    <n v="80.819999999999993"/>
    <n v="27"/>
    <n v="3698.4599999999996"/>
    <n v="0.09"/>
    <n v="332.86139999999995"/>
    <n v="3365.5985999999998"/>
    <n v="24.49"/>
    <n v="3390.0885999999996"/>
  </r>
  <r>
    <s v="6437-1"/>
    <d v="2016-10-15T00:00:00"/>
    <x v="3"/>
    <x v="510"/>
    <s v="324A King St,Newtown"/>
    <s v="Sydney"/>
    <x v="1"/>
    <x v="2"/>
    <x v="11"/>
    <x v="2"/>
    <x v="129"/>
    <x v="0"/>
    <s v="Wrap Bag"/>
    <x v="1"/>
    <d v="2016-10-15T00:00:00"/>
    <n v="1.53"/>
    <n v="2.4700000000000002"/>
    <n v="0.94000000000000017"/>
    <n v="45"/>
    <n v="111.15"/>
    <n v="7.0000000000000007E-2"/>
    <n v="7.7805000000000009"/>
    <n v="103.3695"/>
    <n v="1.02"/>
    <n v="104.3895"/>
  </r>
  <r>
    <s v="6437-2"/>
    <d v="2016-10-15T00:00:00"/>
    <x v="3"/>
    <x v="510"/>
    <s v="324A King St,Newtown"/>
    <s v="Sydney"/>
    <x v="1"/>
    <x v="2"/>
    <x v="11"/>
    <x v="2"/>
    <x v="47"/>
    <x v="0"/>
    <s v="Wrap Bag"/>
    <x v="0"/>
    <d v="2016-10-19T00:00:00"/>
    <n v="3.48"/>
    <n v="5.43"/>
    <n v="1.9499999999999997"/>
    <n v="11"/>
    <n v="59.73"/>
    <n v="0"/>
    <n v="0"/>
    <n v="59.73"/>
    <n v="0.95"/>
    <n v="60.68"/>
  </r>
  <r>
    <s v="6438-1"/>
    <d v="2016-10-16T00:00:00"/>
    <x v="3"/>
    <x v="287"/>
    <s v="523 King St,Newtown"/>
    <s v="Sydney"/>
    <x v="1"/>
    <x v="3"/>
    <x v="9"/>
    <x v="4"/>
    <x v="5"/>
    <x v="0"/>
    <s v="Wrap Bag"/>
    <x v="0"/>
    <d v="2016-10-18T00:00:00"/>
    <n v="1.0900000000000001"/>
    <n v="2.6"/>
    <n v="1.51"/>
    <n v="12"/>
    <n v="31.200000000000003"/>
    <n v="0.05"/>
    <n v="1.5600000000000003"/>
    <n v="29.640000000000004"/>
    <n v="2.4"/>
    <n v="32.040000000000006"/>
  </r>
  <r>
    <s v="6440-1"/>
    <d v="2016-10-18T00:00:00"/>
    <x v="3"/>
    <x v="340"/>
    <s v="1/160 Anzac Parade,Kensington"/>
    <s v="Sydney"/>
    <x v="1"/>
    <x v="0"/>
    <x v="5"/>
    <x v="4"/>
    <x v="84"/>
    <x v="2"/>
    <s v="Large Box"/>
    <x v="0"/>
    <d v="2016-10-21T00:00:00"/>
    <n v="56.16"/>
    <n v="136.97999999999999"/>
    <n v="80.819999999999993"/>
    <n v="21"/>
    <n v="2876.58"/>
    <n v="0.05"/>
    <n v="143.82900000000001"/>
    <n v="2732.7509999999997"/>
    <n v="24.49"/>
    <n v="2757.2409999999995"/>
  </r>
  <r>
    <s v="6442-1"/>
    <d v="2016-10-19T00:00:00"/>
    <x v="3"/>
    <x v="381"/>
    <s v="101 Murray Street"/>
    <s v="Perth"/>
    <x v="2"/>
    <x v="1"/>
    <x v="8"/>
    <x v="1"/>
    <x v="85"/>
    <x v="0"/>
    <s v="Small Pack"/>
    <x v="0"/>
    <d v="2016-10-21T00:00:00"/>
    <n v="5.19"/>
    <n v="12.98"/>
    <n v="7.79"/>
    <n v="49"/>
    <n v="636.02"/>
    <n v="0.09"/>
    <n v="57.241799999999998"/>
    <n v="578.77819999999997"/>
    <n v="3.14"/>
    <n v="581.91819999999996"/>
  </r>
  <r>
    <s v="6443-1"/>
    <d v="2016-10-20T00:00:00"/>
    <x v="3"/>
    <x v="212"/>
    <s v="2a/285A Crown St,Surry Hills"/>
    <s v="Sydney"/>
    <x v="1"/>
    <x v="0"/>
    <x v="4"/>
    <x v="3"/>
    <x v="77"/>
    <x v="0"/>
    <s v="Small Box"/>
    <x v="0"/>
    <d v="2016-10-20T00:00:00"/>
    <n v="2.2599999999999998"/>
    <n v="3.58"/>
    <n v="1.3200000000000003"/>
    <n v="34"/>
    <n v="121.72"/>
    <n v="7.0000000000000007E-2"/>
    <n v="8.5204000000000004"/>
    <n v="113.1996"/>
    <n v="5.47"/>
    <n v="118.6696"/>
  </r>
  <r>
    <s v="6445-1"/>
    <d v="2016-10-22T00:00:00"/>
    <x v="3"/>
    <x v="328"/>
    <s v="Westfield Miranda, 600 Kingsway,Miranda"/>
    <s v="Sydney"/>
    <x v="1"/>
    <x v="3"/>
    <x v="12"/>
    <x v="3"/>
    <x v="22"/>
    <x v="0"/>
    <s v="Small Box"/>
    <x v="0"/>
    <d v="2016-10-24T00:00:00"/>
    <n v="1.59"/>
    <n v="2.61"/>
    <n v="1.0199999999999998"/>
    <n v="44"/>
    <n v="114.83999999999999"/>
    <n v="7.0000000000000007E-2"/>
    <n v="8.0388000000000002"/>
    <n v="106.80119999999999"/>
    <n v="0.5"/>
    <n v="107.30119999999999"/>
  </r>
  <r>
    <s v="6447-1"/>
    <d v="2016-10-23T00:00:00"/>
    <x v="3"/>
    <x v="357"/>
    <s v="310 Wattle St,Ultimo"/>
    <s v="Sydney"/>
    <x v="1"/>
    <x v="2"/>
    <x v="9"/>
    <x v="1"/>
    <x v="30"/>
    <x v="1"/>
    <s v="Medium Box"/>
    <x v="0"/>
    <d v="2016-10-25T00:00:00"/>
    <n v="8.82"/>
    <n v="20.99"/>
    <n v="12.169999999999998"/>
    <n v="17"/>
    <n v="356.83"/>
    <n v="0"/>
    <n v="0"/>
    <n v="356.83"/>
    <n v="4.8099999999999996"/>
    <n v="361.64"/>
  </r>
  <r>
    <s v="6449-1"/>
    <d v="2016-10-23T00:00:00"/>
    <x v="3"/>
    <x v="13"/>
    <s v="541 Church St ,Richmond"/>
    <s v="Melbourne"/>
    <x v="0"/>
    <x v="1"/>
    <x v="0"/>
    <x v="2"/>
    <x v="84"/>
    <x v="2"/>
    <s v="Large Box"/>
    <x v="0"/>
    <d v="2016-10-30T00:00:00"/>
    <n v="56.16"/>
    <n v="136.97999999999999"/>
    <n v="80.819999999999993"/>
    <n v="3"/>
    <n v="410.93999999999994"/>
    <n v="0.1"/>
    <n v="41.093999999999994"/>
    <n v="369.84599999999995"/>
    <n v="24.49"/>
    <n v="394.33599999999996"/>
  </r>
  <r>
    <s v="6451-1"/>
    <d v="2016-10-23T00:00:00"/>
    <x v="3"/>
    <x v="223"/>
    <s v="1/50-58 Hunter St,Sydney"/>
    <s v="Sydney"/>
    <x v="1"/>
    <x v="2"/>
    <x v="12"/>
    <x v="4"/>
    <x v="75"/>
    <x v="0"/>
    <s v="Small Box"/>
    <x v="0"/>
    <d v="2016-10-25T00:00:00"/>
    <n v="1.84"/>
    <n v="2.88"/>
    <n v="1.0399999999999998"/>
    <n v="32"/>
    <n v="92.16"/>
    <n v="0.01"/>
    <n v="0.92159999999999997"/>
    <n v="91.238399999999999"/>
    <n v="1.49"/>
    <n v="92.728399999999993"/>
  </r>
  <r>
    <s v="6453-1"/>
    <d v="2016-10-25T00:00:00"/>
    <x v="3"/>
    <x v="164"/>
    <s v="541 Church St,Richmond"/>
    <s v="Melbourne"/>
    <x v="0"/>
    <x v="1"/>
    <x v="0"/>
    <x v="1"/>
    <x v="22"/>
    <x v="0"/>
    <s v="Small Box"/>
    <x v="1"/>
    <d v="2016-10-27T00:00:00"/>
    <n v="1.59"/>
    <n v="2.61"/>
    <n v="1.0199999999999998"/>
    <n v="25"/>
    <n v="65.25"/>
    <n v="0.04"/>
    <n v="2.61"/>
    <n v="62.64"/>
    <n v="0.5"/>
    <n v="63.14"/>
  </r>
  <r>
    <s v="6455-1"/>
    <d v="2016-10-25T00:00:00"/>
    <x v="3"/>
    <x v="305"/>
    <s v="145 Ramsay St,Haberfield"/>
    <s v="Sydney"/>
    <x v="1"/>
    <x v="1"/>
    <x v="4"/>
    <x v="0"/>
    <x v="4"/>
    <x v="0"/>
    <s v="Wrap Bag"/>
    <x v="0"/>
    <d v="2016-10-27T00:00:00"/>
    <n v="0.9"/>
    <n v="2.1"/>
    <n v="1.2000000000000002"/>
    <n v="33"/>
    <n v="69.3"/>
    <n v="0.05"/>
    <n v="3.4649999999999999"/>
    <n v="65.834999999999994"/>
    <n v="0.7"/>
    <n v="66.534999999999997"/>
  </r>
  <r>
    <s v="6457-1"/>
    <d v="2016-10-27T00:00:00"/>
    <x v="3"/>
    <x v="0"/>
    <s v="221 Barkly St,St Kilda"/>
    <s v="Melbourne"/>
    <x v="0"/>
    <x v="0"/>
    <x v="0"/>
    <x v="4"/>
    <x v="66"/>
    <x v="1"/>
    <s v="Small Box"/>
    <x v="0"/>
    <d v="2016-10-28T00:00:00"/>
    <n v="54.52"/>
    <n v="100.97"/>
    <n v="46.449999999999996"/>
    <n v="29"/>
    <n v="2928.13"/>
    <n v="0.05"/>
    <n v="146.40650000000002"/>
    <n v="2781.7235000000001"/>
    <n v="7.18"/>
    <n v="2788.9034999999999"/>
  </r>
  <r>
    <s v="6457-2"/>
    <d v="2016-10-27T00:00:00"/>
    <x v="3"/>
    <x v="0"/>
    <s v="221 Barkly St,St Kilda"/>
    <s v="Melbourne"/>
    <x v="0"/>
    <x v="0"/>
    <x v="0"/>
    <x v="4"/>
    <x v="111"/>
    <x v="0"/>
    <s v="Wrap Bag"/>
    <x v="0"/>
    <d v="2016-10-27T00:00:00"/>
    <n v="2.59"/>
    <n v="3.98"/>
    <n v="1.3900000000000001"/>
    <n v="4"/>
    <n v="15.92"/>
    <n v="0.09"/>
    <n v="1.4327999999999999"/>
    <n v="14.4872"/>
    <n v="2.97"/>
    <n v="17.4572"/>
  </r>
  <r>
    <s v="6460-1"/>
    <d v="2016-10-28T00:00:00"/>
    <x v="3"/>
    <x v="511"/>
    <s v="8 Rankins Lane ,Melbourne"/>
    <s v="Melbourne"/>
    <x v="0"/>
    <x v="0"/>
    <x v="1"/>
    <x v="2"/>
    <x v="71"/>
    <x v="0"/>
    <s v="Small Box"/>
    <x v="1"/>
    <d v="2016-11-06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461-1"/>
    <d v="2016-10-28T00:00:00"/>
    <x v="3"/>
    <x v="198"/>
    <s v="222 Barkly St,St Kilda"/>
    <s v="Melbourne"/>
    <x v="0"/>
    <x v="1"/>
    <x v="0"/>
    <x v="1"/>
    <x v="58"/>
    <x v="0"/>
    <s v="Small Box"/>
    <x v="0"/>
    <d v="2016-10-30T00:00:00"/>
    <n v="1.98"/>
    <n v="3.15"/>
    <n v="1.17"/>
    <n v="24"/>
    <n v="75.599999999999994"/>
    <n v="0.02"/>
    <n v="1.512"/>
    <n v="74.087999999999994"/>
    <n v="0.49"/>
    <n v="74.577999999999989"/>
  </r>
  <r>
    <s v="6463-1"/>
    <d v="2016-10-29T00:00:00"/>
    <x v="3"/>
    <x v="512"/>
    <s v="531 King St,Newtown"/>
    <s v="Sydney"/>
    <x v="1"/>
    <x v="0"/>
    <x v="11"/>
    <x v="1"/>
    <x v="23"/>
    <x v="1"/>
    <s v="Small Box"/>
    <x v="0"/>
    <d v="2016-10-30T00:00:00"/>
    <n v="6.39"/>
    <n v="19.98"/>
    <n v="13.59"/>
    <n v="9"/>
    <n v="179.82"/>
    <n v="0.09"/>
    <n v="16.183799999999998"/>
    <n v="163.6362"/>
    <n v="4"/>
    <n v="167.6362"/>
  </r>
  <r>
    <s v="6465-1"/>
    <d v="2016-10-31T00:00:00"/>
    <x v="3"/>
    <x v="513"/>
    <s v="81 MacLeay St,Potts Point"/>
    <s v="Sydney"/>
    <x v="1"/>
    <x v="1"/>
    <x v="6"/>
    <x v="4"/>
    <x v="34"/>
    <x v="1"/>
    <s v="Medium Box"/>
    <x v="0"/>
    <d v="2016-10-31T00:00:00"/>
    <n v="9.91"/>
    <n v="15.99"/>
    <n v="6.08"/>
    <n v="33"/>
    <n v="527.66999999999996"/>
    <n v="0.01"/>
    <n v="5.2766999999999999"/>
    <n v="522.39329999999995"/>
    <n v="11.28"/>
    <n v="533.67329999999993"/>
  </r>
  <r>
    <s v="6467-1"/>
    <d v="2016-10-31T00:00:00"/>
    <x v="3"/>
    <x v="430"/>
    <s v="506 Swan Street,Richmond"/>
    <s v="Melbourne"/>
    <x v="0"/>
    <x v="1"/>
    <x v="1"/>
    <x v="4"/>
    <x v="70"/>
    <x v="0"/>
    <s v="Small Box"/>
    <x v="0"/>
    <d v="2016-11-01T00:00:00"/>
    <n v="3.65"/>
    <n v="5.98"/>
    <n v="2.3300000000000005"/>
    <n v="23"/>
    <n v="137.54000000000002"/>
    <n v="0.01"/>
    <n v="1.3754000000000002"/>
    <n v="136.16460000000001"/>
    <n v="1.49"/>
    <n v="137.65460000000002"/>
  </r>
  <r>
    <s v="6469-1"/>
    <d v="2016-10-31T00:00:00"/>
    <x v="3"/>
    <x v="85"/>
    <s v="81 MacLeay St,Potts Point"/>
    <s v="Sydney"/>
    <x v="1"/>
    <x v="0"/>
    <x v="6"/>
    <x v="3"/>
    <x v="80"/>
    <x v="0"/>
    <s v="Small Box"/>
    <x v="0"/>
    <d v="2016-11-03T00:00:00"/>
    <n v="3.5"/>
    <n v="5.74"/>
    <n v="2.2400000000000002"/>
    <n v="48"/>
    <n v="275.52"/>
    <n v="0.05"/>
    <n v="13.776"/>
    <n v="261.74399999999997"/>
    <n v="5.01"/>
    <n v="266.75399999999996"/>
  </r>
  <r>
    <s v="6471-1"/>
    <d v="2016-11-02T00:00:00"/>
    <x v="3"/>
    <x v="152"/>
    <s v="797 Botany Rd,Rosebery"/>
    <s v="Sydney"/>
    <x v="1"/>
    <x v="1"/>
    <x v="4"/>
    <x v="1"/>
    <x v="24"/>
    <x v="1"/>
    <s v="Small Box"/>
    <x v="0"/>
    <d v="2016-11-03T00:00:00"/>
    <n v="39.64"/>
    <n v="152.47999999999999"/>
    <n v="112.83999999999999"/>
    <n v="44"/>
    <n v="6709.12"/>
    <n v="0.03"/>
    <n v="201.27359999999999"/>
    <n v="6507.8464000000004"/>
    <n v="6.5"/>
    <n v="6514.3464000000004"/>
  </r>
  <r>
    <s v="6472-1"/>
    <d v="2016-11-02T00:00:00"/>
    <x v="3"/>
    <x v="514"/>
    <s v="106 Ebley Street,Bondi Junction"/>
    <s v="Sydney"/>
    <x v="1"/>
    <x v="0"/>
    <x v="2"/>
    <x v="3"/>
    <x v="89"/>
    <x v="0"/>
    <s v="Small Pack"/>
    <x v="0"/>
    <d v="2016-11-03T00:00:00"/>
    <n v="2.5"/>
    <n v="5.68"/>
    <n v="3.1799999999999997"/>
    <n v="34"/>
    <n v="193.12"/>
    <n v="0"/>
    <n v="0"/>
    <n v="193.12"/>
    <n v="3.6"/>
    <n v="196.72"/>
  </r>
  <r>
    <s v="6473-1"/>
    <d v="2016-11-02T00:00:00"/>
    <x v="3"/>
    <x v="369"/>
    <s v="8/2 Edward Street"/>
    <s v="Perth"/>
    <x v="2"/>
    <x v="0"/>
    <x v="5"/>
    <x v="3"/>
    <x v="96"/>
    <x v="0"/>
    <s v="Small Pack"/>
    <x v="0"/>
    <d v="2016-11-04T00:00:00"/>
    <n v="16.8"/>
    <n v="40.97"/>
    <n v="24.169999999999998"/>
    <n v="26"/>
    <n v="1065.22"/>
    <n v="0.06"/>
    <n v="63.913199999999996"/>
    <n v="1001.3068000000001"/>
    <n v="8.99"/>
    <n v="1010.2968000000001"/>
  </r>
  <r>
    <s v="6475-1"/>
    <d v="2016-11-02T00:00:00"/>
    <x v="3"/>
    <x v="222"/>
    <s v="Westfield 1 Anderson St,Chatswood"/>
    <s v="Sydney"/>
    <x v="1"/>
    <x v="0"/>
    <x v="3"/>
    <x v="2"/>
    <x v="15"/>
    <x v="0"/>
    <s v="Wrap Bag"/>
    <x v="0"/>
    <d v="2016-11-06T00:00:00"/>
    <n v="1.3"/>
    <n v="2.88"/>
    <n v="1.5799999999999998"/>
    <n v="41"/>
    <n v="118.08"/>
    <n v="0.1"/>
    <n v="11.808"/>
    <n v="106.27199999999999"/>
    <n v="1.01"/>
    <n v="107.282"/>
  </r>
  <r>
    <s v="6477-1"/>
    <d v="2016-11-03T00:00:00"/>
    <x v="3"/>
    <x v="515"/>
    <s v="152 Bunnerong Road,Eastgardens"/>
    <s v="Sydney"/>
    <x v="1"/>
    <x v="1"/>
    <x v="8"/>
    <x v="3"/>
    <x v="40"/>
    <x v="0"/>
    <s v="Small Box"/>
    <x v="0"/>
    <d v="2016-11-04T00:00:00"/>
    <n v="3.84"/>
    <n v="6.3"/>
    <n v="2.46"/>
    <n v="35"/>
    <n v="220.5"/>
    <n v="0.03"/>
    <n v="6.6149999999999993"/>
    <n v="213.88499999999999"/>
    <n v="0.5"/>
    <n v="214.38499999999999"/>
  </r>
  <r>
    <s v="6479-1"/>
    <d v="2016-11-05T00:00:00"/>
    <x v="3"/>
    <x v="516"/>
    <s v="18 Robinson Avenue, Perth"/>
    <s v="Sydney"/>
    <x v="1"/>
    <x v="3"/>
    <x v="5"/>
    <x v="2"/>
    <x v="80"/>
    <x v="0"/>
    <s v="Small Box"/>
    <x v="0"/>
    <d v="2016-11-12T00:00:00"/>
    <n v="3.5"/>
    <n v="5.74"/>
    <n v="2.2400000000000002"/>
    <n v="5"/>
    <n v="28.700000000000003"/>
    <n v="7.0000000000000007E-2"/>
    <n v="2.0090000000000003"/>
    <n v="26.691000000000003"/>
    <n v="5.01"/>
    <n v="31.701000000000001"/>
  </r>
  <r>
    <s v="6480-1"/>
    <d v="2016-11-08T00:00:00"/>
    <x v="3"/>
    <x v="517"/>
    <s v="Westfield Sydney,Sydney"/>
    <s v="Sydney"/>
    <x v="1"/>
    <x v="2"/>
    <x v="5"/>
    <x v="2"/>
    <x v="45"/>
    <x v="0"/>
    <s v="Small Box"/>
    <x v="0"/>
    <d v="2016-11-13T00:00:00"/>
    <n v="8.92"/>
    <n v="29.74"/>
    <n v="20.82"/>
    <n v="31"/>
    <n v="921.93999999999994"/>
    <n v="0"/>
    <n v="0"/>
    <n v="921.93999999999994"/>
    <n v="6.64"/>
    <n v="928.57999999999993"/>
  </r>
  <r>
    <s v="6482-1"/>
    <d v="2016-11-08T00:00:00"/>
    <x v="3"/>
    <x v="116"/>
    <s v="15 Aberdeen Street"/>
    <s v="Perth"/>
    <x v="2"/>
    <x v="0"/>
    <x v="13"/>
    <x v="2"/>
    <x v="126"/>
    <x v="0"/>
    <s v="Wrap Bag"/>
    <x v="0"/>
    <d v="2016-11-10T00:00:00"/>
    <n v="1.0900000000000001"/>
    <n v="1.82"/>
    <n v="0.73"/>
    <n v="40"/>
    <n v="72.8"/>
    <n v="0.05"/>
    <n v="3.64"/>
    <n v="69.16"/>
    <n v="1"/>
    <n v="70.16"/>
  </r>
  <r>
    <s v="6483-1"/>
    <d v="2016-11-08T00:00:00"/>
    <x v="3"/>
    <x v="137"/>
    <s v="541 Church St ,Richmond"/>
    <s v="Melbourne"/>
    <x v="0"/>
    <x v="2"/>
    <x v="0"/>
    <x v="3"/>
    <x v="4"/>
    <x v="0"/>
    <s v="Wrap Bag"/>
    <x v="0"/>
    <d v="2016-11-08T00:00:00"/>
    <n v="0.9"/>
    <n v="2.1"/>
    <n v="1.2000000000000002"/>
    <n v="27"/>
    <n v="56.7"/>
    <n v="0.04"/>
    <n v="2.2680000000000002"/>
    <n v="54.432000000000002"/>
    <n v="0.7"/>
    <n v="55.132000000000005"/>
  </r>
  <r>
    <s v="6484-1"/>
    <d v="2016-11-09T00:00:00"/>
    <x v="3"/>
    <x v="518"/>
    <s v="2-4 College Street, Darlinghurst"/>
    <s v="Sydney"/>
    <x v="1"/>
    <x v="1"/>
    <x v="3"/>
    <x v="0"/>
    <x v="19"/>
    <x v="0"/>
    <s v="Small Pack"/>
    <x v="0"/>
    <d v="2016-11-11T00:00:00"/>
    <n v="0.94"/>
    <n v="2.08"/>
    <n v="1.1400000000000001"/>
    <n v="39"/>
    <n v="81.12"/>
    <n v="0.04"/>
    <n v="3.2448000000000001"/>
    <n v="77.875200000000007"/>
    <n v="2.56"/>
    <n v="80.435200000000009"/>
  </r>
  <r>
    <s v="6485-1"/>
    <d v="2016-11-10T00:00:00"/>
    <x v="3"/>
    <x v="428"/>
    <s v="Westfield 1 Anderson St,Chatswood"/>
    <s v="Sydney"/>
    <x v="1"/>
    <x v="2"/>
    <x v="3"/>
    <x v="3"/>
    <x v="48"/>
    <x v="1"/>
    <s v="Small Pack"/>
    <x v="0"/>
    <d v="2016-11-12T00:00:00"/>
    <n v="20.18"/>
    <n v="35.409999999999997"/>
    <n v="15.229999999999997"/>
    <n v="21"/>
    <n v="743.6099999999999"/>
    <n v="0.09"/>
    <n v="66.924899999999994"/>
    <n v="676.68509999999992"/>
    <n v="1.99"/>
    <n v="678.67509999999993"/>
  </r>
  <r>
    <s v="6487-1"/>
    <d v="2016-11-12T00:00:00"/>
    <x v="3"/>
    <x v="145"/>
    <s v="1/173-179 Bronte Rd,Waverley"/>
    <s v="Sydney"/>
    <x v="1"/>
    <x v="3"/>
    <x v="2"/>
    <x v="3"/>
    <x v="51"/>
    <x v="0"/>
    <s v="Small Box"/>
    <x v="0"/>
    <d v="2016-11-12T00:00:00"/>
    <n v="19.829999999999998"/>
    <n v="30.98"/>
    <n v="11.150000000000002"/>
    <n v="15"/>
    <n v="464.7"/>
    <n v="0"/>
    <n v="0"/>
    <n v="464.7"/>
    <n v="19.510000000000002"/>
    <n v="484.21"/>
  </r>
  <r>
    <s v="6489-1"/>
    <d v="2016-11-13T00:00:00"/>
    <x v="3"/>
    <x v="519"/>
    <s v="324A King St,Newtown"/>
    <s v="Sydney"/>
    <x v="1"/>
    <x v="3"/>
    <x v="11"/>
    <x v="2"/>
    <x v="58"/>
    <x v="0"/>
    <s v="Small Box"/>
    <x v="0"/>
    <d v="2016-11-15T00:00:00"/>
    <n v="1.98"/>
    <n v="3.15"/>
    <n v="1.17"/>
    <n v="41"/>
    <n v="129.15"/>
    <n v="0.06"/>
    <n v="7.7489999999999997"/>
    <n v="121.40100000000001"/>
    <n v="0.49"/>
    <n v="121.89100000000001"/>
  </r>
  <r>
    <s v="6491-1"/>
    <d v="2016-11-14T00:00:00"/>
    <x v="3"/>
    <x v="520"/>
    <s v="99 Glebe Point Rd,Glebe"/>
    <s v="Sydney"/>
    <x v="1"/>
    <x v="1"/>
    <x v="5"/>
    <x v="4"/>
    <x v="5"/>
    <x v="0"/>
    <s v="Wrap Bag"/>
    <x v="0"/>
    <d v="2016-11-15T00:00:00"/>
    <n v="1.0900000000000001"/>
    <n v="2.6"/>
    <n v="1.51"/>
    <n v="11"/>
    <n v="28.6"/>
    <n v="0.09"/>
    <n v="2.5739999999999998"/>
    <n v="26.026000000000003"/>
    <n v="2.4"/>
    <n v="28.426000000000002"/>
  </r>
  <r>
    <s v="6493-1"/>
    <d v="2016-11-16T00:00:00"/>
    <x v="3"/>
    <x v="521"/>
    <s v="53-55 Liverpool St,Sydney"/>
    <s v="Sydney"/>
    <x v="1"/>
    <x v="1"/>
    <x v="8"/>
    <x v="0"/>
    <x v="42"/>
    <x v="0"/>
    <s v="Wrap Bag"/>
    <x v="0"/>
    <d v="2016-11-16T00:00:00"/>
    <n v="2.29"/>
    <n v="3.58"/>
    <n v="1.29"/>
    <n v="32"/>
    <n v="114.56"/>
    <n v="0.09"/>
    <n v="10.3104"/>
    <n v="104.2496"/>
    <n v="1.63"/>
    <n v="105.8796"/>
  </r>
  <r>
    <s v="6495-1"/>
    <d v="2016-11-17T00:00:00"/>
    <x v="3"/>
    <x v="219"/>
    <s v="506 Swan Street,Richmond"/>
    <s v="Melbourne"/>
    <x v="0"/>
    <x v="3"/>
    <x v="1"/>
    <x v="0"/>
    <x v="37"/>
    <x v="0"/>
    <s v="Small Box"/>
    <x v="0"/>
    <d v="2016-11-19T00:00:00"/>
    <n v="13.64"/>
    <n v="20.98"/>
    <n v="7.34"/>
    <n v="42"/>
    <n v="881.16"/>
    <n v="0.1"/>
    <n v="88.116"/>
    <n v="793.04399999999998"/>
    <n v="1.49"/>
    <n v="794.53399999999999"/>
  </r>
  <r>
    <s v="6496-1"/>
    <d v="2016-11-17T00:00:00"/>
    <x v="3"/>
    <x v="178"/>
    <s v="Westfield Miranda, 600 Kingsway,Miranda"/>
    <s v="Sydney"/>
    <x v="1"/>
    <x v="1"/>
    <x v="12"/>
    <x v="4"/>
    <x v="95"/>
    <x v="0"/>
    <s v="Small Box"/>
    <x v="0"/>
    <d v="2016-11-19T00:00:00"/>
    <n v="11.04"/>
    <n v="16.98"/>
    <n v="5.9400000000000013"/>
    <n v="46"/>
    <n v="781.08"/>
    <n v="0.09"/>
    <n v="70.297200000000004"/>
    <n v="710.78280000000007"/>
    <n v="12.39"/>
    <n v="723.17280000000005"/>
  </r>
  <r>
    <s v="6497-1"/>
    <d v="2016-11-20T00:00:00"/>
    <x v="3"/>
    <x v="102"/>
    <s v="499-501 Lygon Street,Carlton North"/>
    <s v="Melbourne"/>
    <x v="0"/>
    <x v="0"/>
    <x v="0"/>
    <x v="1"/>
    <x v="121"/>
    <x v="0"/>
    <s v="Wrap Bag"/>
    <x v="0"/>
    <d v="2016-11-21T00:00:00"/>
    <n v="1.05"/>
    <n v="1.95"/>
    <n v="0.89999999999999991"/>
    <n v="20"/>
    <n v="39"/>
    <n v="0.06"/>
    <n v="2.34"/>
    <n v="36.659999999999997"/>
    <n v="1.63"/>
    <n v="38.29"/>
  </r>
  <r>
    <s v="6498-1"/>
    <d v="2016-11-22T00:00:00"/>
    <x v="3"/>
    <x v="522"/>
    <s v="22 St Georges Terrace, Perth"/>
    <s v="Sydney"/>
    <x v="1"/>
    <x v="1"/>
    <x v="9"/>
    <x v="2"/>
    <x v="18"/>
    <x v="0"/>
    <s v="Small Box"/>
    <x v="0"/>
    <d v="2016-11-27T00:00:00"/>
    <n v="3.52"/>
    <n v="5.68"/>
    <n v="2.1599999999999997"/>
    <n v="10"/>
    <n v="56.8"/>
    <n v="0.09"/>
    <n v="5.1119999999999992"/>
    <n v="51.687999999999995"/>
    <n v="1.39"/>
    <n v="53.077999999999996"/>
  </r>
  <r>
    <s v="6499-1"/>
    <d v="2016-11-23T00:00:00"/>
    <x v="3"/>
    <x v="523"/>
    <s v="470 Anzac Parade,Kingsford"/>
    <s v="Sydney"/>
    <x v="1"/>
    <x v="1"/>
    <x v="8"/>
    <x v="1"/>
    <x v="35"/>
    <x v="0"/>
    <s v="Wrap Bag"/>
    <x v="0"/>
    <d v="2016-11-25T00:00:00"/>
    <n v="3.75"/>
    <n v="7.08"/>
    <n v="3.33"/>
    <n v="29"/>
    <n v="205.32"/>
    <n v="7.0000000000000007E-2"/>
    <n v="14.372400000000001"/>
    <n v="190.94759999999999"/>
    <n v="2.35"/>
    <n v="193.29759999999999"/>
  </r>
  <r>
    <s v="6500-1"/>
    <d v="2016-11-26T00:00:00"/>
    <x v="3"/>
    <x v="29"/>
    <s v="85-113 Dunning Ave,Rosebery"/>
    <s v="Sydney"/>
    <x v="1"/>
    <x v="3"/>
    <x v="11"/>
    <x v="4"/>
    <x v="54"/>
    <x v="0"/>
    <s v="Small Box"/>
    <x v="0"/>
    <d v="2016-11-28T00:00:00"/>
    <n v="3.4"/>
    <n v="5.4"/>
    <n v="2.0000000000000004"/>
    <n v="1"/>
    <n v="5.4"/>
    <n v="0"/>
    <n v="0"/>
    <n v="5.4"/>
    <n v="7.78"/>
    <n v="13.18"/>
  </r>
  <r>
    <s v="6502-1"/>
    <d v="2016-11-26T00:00:00"/>
    <x v="3"/>
    <x v="524"/>
    <s v="1 John St,Waterloo"/>
    <s v="Sydney"/>
    <x v="1"/>
    <x v="0"/>
    <x v="10"/>
    <x v="4"/>
    <x v="128"/>
    <x v="0"/>
    <s v="Small Box"/>
    <x v="0"/>
    <d v="2016-11-28T00:00:00"/>
    <n v="1.84"/>
    <n v="2.88"/>
    <n v="1.0399999999999998"/>
    <n v="6"/>
    <n v="17.28"/>
    <n v="0.06"/>
    <n v="1.0367999999999999"/>
    <n v="16.243200000000002"/>
    <n v="0.99"/>
    <n v="17.2332"/>
  </r>
  <r>
    <s v="6503-1"/>
    <d v="2016-11-26T00:00:00"/>
    <x v="3"/>
    <x v="157"/>
    <s v="61 York St,Sydney"/>
    <s v="Sydney"/>
    <x v="1"/>
    <x v="2"/>
    <x v="2"/>
    <x v="2"/>
    <x v="124"/>
    <x v="0"/>
    <s v="Wrap Bag"/>
    <x v="0"/>
    <d v="2016-11-30T00:00:00"/>
    <n v="0.87"/>
    <n v="1.81"/>
    <n v="0.94000000000000006"/>
    <n v="18"/>
    <n v="32.58"/>
    <n v="0.06"/>
    <n v="1.9547999999999999"/>
    <n v="30.6252"/>
    <n v="0.75"/>
    <n v="31.3752"/>
  </r>
  <r>
    <s v="6504-1"/>
    <d v="2016-11-27T00:00:00"/>
    <x v="3"/>
    <x v="209"/>
    <s v="501 George St,Sydney"/>
    <s v="Sydney"/>
    <x v="1"/>
    <x v="1"/>
    <x v="6"/>
    <x v="3"/>
    <x v="93"/>
    <x v="1"/>
    <s v="Small Box"/>
    <x v="0"/>
    <d v="2016-11-29T00:00:00"/>
    <n v="62.4"/>
    <n v="155.99"/>
    <n v="93.59"/>
    <n v="24"/>
    <n v="3743.76"/>
    <n v="0.04"/>
    <n v="149.75040000000001"/>
    <n v="3594.0096000000003"/>
    <n v="8.08"/>
    <n v="3602.0896000000002"/>
  </r>
  <r>
    <s v="6505-1"/>
    <d v="2016-11-27T00:00:00"/>
    <x v="3"/>
    <x v="308"/>
    <s v="Sydney Fish Market, Bank Street, Sydney"/>
    <s v="Sydney"/>
    <x v="1"/>
    <x v="3"/>
    <x v="4"/>
    <x v="2"/>
    <x v="67"/>
    <x v="1"/>
    <s v="Jumbo Drum"/>
    <x v="2"/>
    <d v="2016-11-27T00:00:00"/>
    <n v="278.99"/>
    <n v="449.99"/>
    <n v="171"/>
    <n v="18"/>
    <n v="8099.82"/>
    <n v="0.09"/>
    <n v="728.98379999999997"/>
    <n v="7370.8361999999997"/>
    <n v="49"/>
    <n v="7419.8361999999997"/>
  </r>
  <r>
    <s v="6506-1"/>
    <d v="2016-11-28T00:00:00"/>
    <x v="3"/>
    <x v="327"/>
    <s v="105 Pitt St,Sydney"/>
    <s v="Sydney"/>
    <x v="1"/>
    <x v="3"/>
    <x v="10"/>
    <x v="1"/>
    <x v="73"/>
    <x v="0"/>
    <s v="Small Box"/>
    <x v="0"/>
    <d v="2016-11-29T00:00:00"/>
    <n v="1.94"/>
    <n v="3.08"/>
    <n v="1.1400000000000001"/>
    <n v="18"/>
    <n v="55.44"/>
    <n v="0.02"/>
    <n v="1.1088"/>
    <n v="54.331199999999995"/>
    <n v="0.99"/>
    <n v="55.321199999999997"/>
  </r>
  <r>
    <s v="6507-1"/>
    <d v="2016-11-28T00:00:00"/>
    <x v="3"/>
    <x v="350"/>
    <s v="85-113 Dunning Ave,Roseberry"/>
    <s v="Sydney"/>
    <x v="1"/>
    <x v="1"/>
    <x v="11"/>
    <x v="1"/>
    <x v="111"/>
    <x v="0"/>
    <s v="Wrap Bag"/>
    <x v="0"/>
    <d v="2016-12-01T00:00:00"/>
    <n v="2.59"/>
    <n v="3.98"/>
    <n v="1.3900000000000001"/>
    <n v="11"/>
    <n v="43.78"/>
    <n v="7.0000000000000007E-2"/>
    <n v="3.0646000000000004"/>
    <n v="40.715400000000002"/>
    <n v="2.97"/>
    <n v="43.685400000000001"/>
  </r>
  <r>
    <s v="6508-1"/>
    <d v="2016-11-29T00:00:00"/>
    <x v="3"/>
    <x v="38"/>
    <s v="10 O'Connell St,Sydney"/>
    <s v="Sydney"/>
    <x v="1"/>
    <x v="3"/>
    <x v="9"/>
    <x v="3"/>
    <x v="141"/>
    <x v="0"/>
    <s v="Wrap Bag"/>
    <x v="0"/>
    <d v="2016-11-30T00:00:00"/>
    <n v="2.68"/>
    <n v="6.08"/>
    <n v="3.4"/>
    <n v="49"/>
    <n v="297.92"/>
    <n v="0.08"/>
    <n v="23.833600000000001"/>
    <n v="274.08640000000003"/>
    <n v="1.17"/>
    <n v="275.25640000000004"/>
  </r>
  <r>
    <s v="6509-1"/>
    <d v="2016-12-01T00:00:00"/>
    <x v="3"/>
    <x v="67"/>
    <s v="61 York St,Sydney"/>
    <s v="Sydney"/>
    <x v="1"/>
    <x v="2"/>
    <x v="2"/>
    <x v="0"/>
    <x v="66"/>
    <x v="1"/>
    <s v="Small Box"/>
    <x v="0"/>
    <d v="2016-12-02T00:00:00"/>
    <n v="54.52"/>
    <n v="100.97"/>
    <n v="46.449999999999996"/>
    <n v="42"/>
    <n v="4240.74"/>
    <n v="0.1"/>
    <n v="424.07400000000001"/>
    <n v="3816.6659999999997"/>
    <n v="7.18"/>
    <n v="3823.8459999999995"/>
  </r>
  <r>
    <s v="6510-1"/>
    <d v="2016-12-03T00:00:00"/>
    <x v="3"/>
    <x v="54"/>
    <s v="10 Lake Street, Perth"/>
    <s v="Perth"/>
    <x v="2"/>
    <x v="3"/>
    <x v="11"/>
    <x v="4"/>
    <x v="75"/>
    <x v="0"/>
    <s v="Small Box"/>
    <x v="0"/>
    <d v="2016-12-05T00:00:00"/>
    <n v="1.84"/>
    <n v="2.88"/>
    <n v="1.0399999999999998"/>
    <n v="40"/>
    <n v="115.19999999999999"/>
    <n v="0"/>
    <n v="0"/>
    <n v="115.19999999999999"/>
    <n v="1.49"/>
    <n v="116.68999999999998"/>
  </r>
  <r>
    <s v="6511-1"/>
    <d v="2016-12-04T00:00:00"/>
    <x v="3"/>
    <x v="525"/>
    <s v="Crown Complex,Southbank"/>
    <s v="Melbourne"/>
    <x v="0"/>
    <x v="0"/>
    <x v="1"/>
    <x v="0"/>
    <x v="23"/>
    <x v="1"/>
    <s v="Small Box"/>
    <x v="0"/>
    <d v="2016-12-05T00:00:00"/>
    <n v="6.39"/>
    <n v="19.98"/>
    <n v="13.59"/>
    <n v="29"/>
    <n v="579.41999999999996"/>
    <n v="0.06"/>
    <n v="34.765199999999993"/>
    <n v="544.65480000000002"/>
    <n v="4"/>
    <n v="548.65480000000002"/>
  </r>
  <r>
    <s v="6512-1"/>
    <d v="2016-12-05T00:00:00"/>
    <x v="3"/>
    <x v="410"/>
    <s v="188 Pitt Street,Sydney"/>
    <s v="Sydney"/>
    <x v="1"/>
    <x v="1"/>
    <x v="8"/>
    <x v="0"/>
    <x v="78"/>
    <x v="0"/>
    <s v="Small Pack"/>
    <x v="1"/>
    <d v="2016-12-07T00:00:00"/>
    <n v="1.46"/>
    <n v="3.57"/>
    <n v="2.11"/>
    <n v="10"/>
    <n v="35.699999999999996"/>
    <n v="0.01"/>
    <n v="0.35699999999999998"/>
    <n v="35.342999999999996"/>
    <n v="4.17"/>
    <n v="39.512999999999998"/>
  </r>
  <r>
    <s v="6514-1"/>
    <d v="2016-12-06T00:00:00"/>
    <x v="3"/>
    <x v="171"/>
    <s v="22 St Georges Terrace, Perth"/>
    <s v="Sydney"/>
    <x v="1"/>
    <x v="1"/>
    <x v="2"/>
    <x v="2"/>
    <x v="24"/>
    <x v="1"/>
    <s v="Small Box"/>
    <x v="0"/>
    <d v="2016-12-08T00:00:00"/>
    <n v="32.020000000000003"/>
    <n v="152.47999999999999"/>
    <n v="120.45999999999998"/>
    <n v="46"/>
    <n v="7014.08"/>
    <n v="0.01"/>
    <n v="70.140799999999999"/>
    <n v="6943.9391999999998"/>
    <n v="4"/>
    <n v="6947.9391999999998"/>
  </r>
  <r>
    <s v="6515-1"/>
    <d v="2016-12-08T00:00:00"/>
    <x v="3"/>
    <x v="62"/>
    <s v="12 Princess Hwy,Sylvania"/>
    <s v="Sydney"/>
    <x v="1"/>
    <x v="3"/>
    <x v="3"/>
    <x v="2"/>
    <x v="14"/>
    <x v="0"/>
    <s v="Small Box"/>
    <x v="0"/>
    <d v="2016-12-15T00:00:00"/>
    <n v="4.59"/>
    <n v="7.28"/>
    <n v="2.6900000000000004"/>
    <n v="18"/>
    <n v="131.04"/>
    <n v="0.09"/>
    <n v="11.7936"/>
    <n v="119.24639999999999"/>
    <n v="11.15"/>
    <n v="130.3964"/>
  </r>
  <r>
    <s v="6515-2"/>
    <d v="2016-12-08T00:00:00"/>
    <x v="3"/>
    <x v="62"/>
    <s v="12 Princess Hwy,Sylvania"/>
    <s v="Sydney"/>
    <x v="1"/>
    <x v="3"/>
    <x v="3"/>
    <x v="2"/>
    <x v="12"/>
    <x v="0"/>
    <s v="Wrap Bag"/>
    <x v="0"/>
    <d v="2016-12-12T00:00:00"/>
    <n v="0.71"/>
    <n v="1.1399999999999999"/>
    <n v="0.42999999999999994"/>
    <n v="28"/>
    <n v="31.919999999999998"/>
    <n v="0.09"/>
    <n v="2.8727999999999998"/>
    <n v="29.047199999999997"/>
    <n v="0.7"/>
    <n v="29.747199999999996"/>
  </r>
  <r>
    <s v="6517-1"/>
    <d v="2016-12-08T00:00:00"/>
    <x v="3"/>
    <x v="526"/>
    <s v="15 Aberdeen Street, Perth"/>
    <s v="Melbourne"/>
    <x v="0"/>
    <x v="3"/>
    <x v="0"/>
    <x v="0"/>
    <x v="90"/>
    <x v="0"/>
    <s v="Small Box"/>
    <x v="0"/>
    <d v="2016-12-10T00:00:00"/>
    <n v="14.95"/>
    <n v="34.76"/>
    <n v="19.809999999999999"/>
    <n v="10"/>
    <n v="347.59999999999997"/>
    <n v="0.06"/>
    <n v="20.855999999999998"/>
    <n v="326.74399999999997"/>
    <n v="8.2200000000000006"/>
    <n v="334.964"/>
  </r>
  <r>
    <s v="6521-1"/>
    <d v="2016-12-09T00:00:00"/>
    <x v="3"/>
    <x v="383"/>
    <s v="6 Mary St,Newtown"/>
    <s v="Sydney"/>
    <x v="1"/>
    <x v="1"/>
    <x v="6"/>
    <x v="0"/>
    <x v="5"/>
    <x v="0"/>
    <s v="Wrap Bag"/>
    <x v="0"/>
    <d v="2016-12-10T00:00:00"/>
    <n v="1.0900000000000001"/>
    <n v="2.6"/>
    <n v="1.51"/>
    <n v="8"/>
    <n v="20.8"/>
    <n v="0.02"/>
    <n v="0.41600000000000004"/>
    <n v="20.384"/>
    <n v="2.4"/>
    <n v="22.783999999999999"/>
  </r>
  <r>
    <s v="6523-1"/>
    <d v="2016-12-10T00:00:00"/>
    <x v="3"/>
    <x v="294"/>
    <s v="101 Murray Street"/>
    <s v="Perth"/>
    <x v="2"/>
    <x v="1"/>
    <x v="8"/>
    <x v="1"/>
    <x v="65"/>
    <x v="0"/>
    <s v="Wrap Bag"/>
    <x v="0"/>
    <d v="2016-12-12T00:00:00"/>
    <n v="0.24"/>
    <n v="1.26"/>
    <n v="1.02"/>
    <n v="37"/>
    <n v="46.62"/>
    <n v="0.03"/>
    <n v="1.3985999999999998"/>
    <n v="45.221399999999996"/>
    <n v="0.7"/>
    <n v="45.921399999999998"/>
  </r>
  <r>
    <s v="6525-1"/>
    <d v="2016-12-10T00:00:00"/>
    <x v="3"/>
    <x v="192"/>
    <s v="99 Lygon Street,East Brunswick"/>
    <s v="Melbourne"/>
    <x v="0"/>
    <x v="2"/>
    <x v="1"/>
    <x v="2"/>
    <x v="1"/>
    <x v="0"/>
    <s v="Wrap Bag"/>
    <x v="0"/>
    <d v="2016-12-14T00:00:00"/>
    <n v="2.39"/>
    <n v="4.26"/>
    <n v="1.8699999999999997"/>
    <n v="44"/>
    <n v="187.44"/>
    <n v="0.01"/>
    <n v="1.8744000000000001"/>
    <n v="185.56559999999999"/>
    <n v="1.2"/>
    <n v="186.76559999999998"/>
  </r>
  <r>
    <s v="6526-1"/>
    <d v="2016-12-10T00:00:00"/>
    <x v="3"/>
    <x v="167"/>
    <s v="60 York St,Sydney"/>
    <s v="Sydney"/>
    <x v="1"/>
    <x v="0"/>
    <x v="10"/>
    <x v="3"/>
    <x v="19"/>
    <x v="0"/>
    <s v="Small Pack"/>
    <x v="0"/>
    <d v="2016-12-12T00:00:00"/>
    <n v="0.94"/>
    <n v="2.08"/>
    <n v="1.1400000000000001"/>
    <n v="36"/>
    <n v="74.88"/>
    <n v="0.1"/>
    <n v="7.4879999999999995"/>
    <n v="67.391999999999996"/>
    <n v="2.56"/>
    <n v="69.951999999999998"/>
  </r>
  <r>
    <s v="6527-1"/>
    <d v="2016-12-10T00:00:00"/>
    <x v="3"/>
    <x v="44"/>
    <s v="152 Bunnerong Road,Eastgardens"/>
    <s v="Sydney"/>
    <x v="1"/>
    <x v="1"/>
    <x v="8"/>
    <x v="2"/>
    <x v="16"/>
    <x v="0"/>
    <s v="Wrap Bag"/>
    <x v="0"/>
    <d v="2016-12-15T00:00:00"/>
    <n v="1.82"/>
    <n v="2.98"/>
    <n v="1.1599999999999999"/>
    <n v="45"/>
    <n v="134.1"/>
    <n v="0.05"/>
    <n v="6.7050000000000001"/>
    <n v="127.395"/>
    <n v="1.58"/>
    <n v="128.97499999999999"/>
  </r>
  <r>
    <s v="6528-1"/>
    <d v="2016-12-10T00:00:00"/>
    <x v="3"/>
    <x v="456"/>
    <s v="1/173-179 Bronte Rd,Waverley"/>
    <s v="Sydney"/>
    <x v="1"/>
    <x v="1"/>
    <x v="2"/>
    <x v="1"/>
    <x v="41"/>
    <x v="1"/>
    <s v="Small Box"/>
    <x v="1"/>
    <d v="2016-12-12T00:00:00"/>
    <n v="156.5"/>
    <n v="300.97000000000003"/>
    <n v="144.47000000000003"/>
    <n v="8"/>
    <n v="2407.7600000000002"/>
    <n v="0.05"/>
    <n v="120.38800000000002"/>
    <n v="2287.3720000000003"/>
    <n v="7.18"/>
    <n v="2294.5520000000001"/>
  </r>
  <r>
    <s v="6529-1"/>
    <d v="2016-12-14T00:00:00"/>
    <x v="3"/>
    <x v="283"/>
    <s v="359 Crown Street,Surry Hills"/>
    <s v="Sydney"/>
    <x v="1"/>
    <x v="0"/>
    <x v="4"/>
    <x v="0"/>
    <x v="45"/>
    <x v="0"/>
    <s v="Small Box"/>
    <x v="0"/>
    <d v="2016-12-15T00:00:00"/>
    <n v="8.92"/>
    <n v="29.74"/>
    <n v="20.82"/>
    <n v="22"/>
    <n v="654.28"/>
    <n v="7.0000000000000007E-2"/>
    <n v="45.799600000000005"/>
    <n v="608.48039999999992"/>
    <n v="6.64"/>
    <n v="615.1203999999999"/>
  </r>
  <r>
    <s v="6530-1"/>
    <d v="2016-12-15T00:00:00"/>
    <x v="3"/>
    <x v="261"/>
    <s v="834 Bourke St,Waterloo"/>
    <s v="Sydney"/>
    <x v="1"/>
    <x v="1"/>
    <x v="10"/>
    <x v="2"/>
    <x v="36"/>
    <x v="2"/>
    <s v="Small Pack"/>
    <x v="1"/>
    <d v="2016-12-24T00:00:00"/>
    <n v="5.5"/>
    <n v="12.22"/>
    <n v="6.7200000000000006"/>
    <n v="17"/>
    <n v="207.74"/>
    <n v="0.01"/>
    <n v="2.0773999999999999"/>
    <n v="205.6626"/>
    <n v="2.85"/>
    <n v="208.51259999999999"/>
  </r>
  <r>
    <s v="6531-1"/>
    <d v="2016-12-17T00:00:00"/>
    <x v="3"/>
    <x v="527"/>
    <s v="3/219 Canley Vale Road,Canley Heights"/>
    <s v="Sydney"/>
    <x v="1"/>
    <x v="0"/>
    <x v="8"/>
    <x v="0"/>
    <x v="20"/>
    <x v="0"/>
    <s v="Wrap Bag"/>
    <x v="0"/>
    <d v="2016-12-19T00:00:00"/>
    <n v="2.52"/>
    <n v="4"/>
    <n v="1.48"/>
    <n v="28"/>
    <n v="112"/>
    <n v="0.04"/>
    <n v="4.4800000000000004"/>
    <n v="107.52"/>
    <n v="1.3"/>
    <n v="108.82"/>
  </r>
  <r>
    <s v="6532-1"/>
    <d v="2016-12-18T00:00:00"/>
    <x v="3"/>
    <x v="246"/>
    <s v="29 Wellington Street"/>
    <s v="Perth"/>
    <x v="2"/>
    <x v="0"/>
    <x v="8"/>
    <x v="1"/>
    <x v="116"/>
    <x v="0"/>
    <s v="Small Pack"/>
    <x v="0"/>
    <d v="2016-12-19T00:00:00"/>
    <n v="4.1900000000000004"/>
    <n v="10.23"/>
    <n v="6.04"/>
    <n v="19"/>
    <n v="194.37"/>
    <n v="0.05"/>
    <n v="9.7185000000000006"/>
    <n v="184.6515"/>
    <n v="4.68"/>
    <n v="189.33150000000001"/>
  </r>
  <r>
    <s v="6534-1"/>
    <d v="2016-12-19T00:00:00"/>
    <x v="3"/>
    <x v="418"/>
    <s v="7 Khartoum Rd,Macquarie Park"/>
    <s v="Sydney"/>
    <x v="1"/>
    <x v="0"/>
    <x v="12"/>
    <x v="1"/>
    <x v="24"/>
    <x v="1"/>
    <s v="Small Box"/>
    <x v="0"/>
    <d v="2016-12-21T00:00:00"/>
    <n v="32.020000000000003"/>
    <n v="152.47999999999999"/>
    <n v="120.45999999999998"/>
    <n v="12"/>
    <n v="1829.7599999999998"/>
    <n v="7.0000000000000007E-2"/>
    <n v="128.08320000000001"/>
    <n v="1701.6767999999997"/>
    <n v="4"/>
    <n v="1705.6767999999997"/>
  </r>
  <r>
    <s v="6535-1"/>
    <d v="2016-12-21T00:00:00"/>
    <x v="3"/>
    <x v="528"/>
    <s v="6 Brookman Street, Perth"/>
    <s v="Sydney"/>
    <x v="1"/>
    <x v="0"/>
    <x v="8"/>
    <x v="1"/>
    <x v="19"/>
    <x v="0"/>
    <s v="Small Pack"/>
    <x v="0"/>
    <d v="2016-12-22T00:00:00"/>
    <n v="0.94"/>
    <n v="2.08"/>
    <n v="1.1400000000000001"/>
    <n v="49"/>
    <n v="101.92"/>
    <n v="7.0000000000000007E-2"/>
    <n v="7.1344000000000012"/>
    <n v="94.785600000000002"/>
    <n v="2.56"/>
    <n v="97.345600000000005"/>
  </r>
  <r>
    <s v="6536-1"/>
    <d v="2016-12-22T00:00:00"/>
    <x v="3"/>
    <x v="9"/>
    <s v="48 Albion St,Surry Hills"/>
    <s v="Sydney"/>
    <x v="1"/>
    <x v="0"/>
    <x v="5"/>
    <x v="1"/>
    <x v="38"/>
    <x v="0"/>
    <s v="Small Box"/>
    <x v="0"/>
    <d v="2016-12-23T00:00:00"/>
    <n v="1.18"/>
    <n v="1.88"/>
    <n v="0.7"/>
    <n v="19"/>
    <n v="35.72"/>
    <n v="0.06"/>
    <n v="2.1431999999999998"/>
    <n v="33.576799999999999"/>
    <n v="1.49"/>
    <n v="35.066800000000001"/>
  </r>
  <r>
    <s v="6538-1"/>
    <d v="2016-12-24T00:00:00"/>
    <x v="3"/>
    <x v="529"/>
    <s v="Cnr Williams Road &amp; Lechlade Ave,South Yarra"/>
    <s v="Melbourne"/>
    <x v="0"/>
    <x v="0"/>
    <x v="0"/>
    <x v="0"/>
    <x v="86"/>
    <x v="0"/>
    <s v="Small Box"/>
    <x v="0"/>
    <d v="2016-12-25T00:00:00"/>
    <n v="2.4500000000000002"/>
    <n v="3.89"/>
    <n v="1.44"/>
    <n v="3"/>
    <n v="11.67"/>
    <n v="0"/>
    <n v="0"/>
    <n v="11.67"/>
    <n v="7.01"/>
    <n v="18.68"/>
  </r>
  <r>
    <s v="6540-1"/>
    <d v="2016-12-25T00:00:00"/>
    <x v="3"/>
    <x v="67"/>
    <s v="61 York St,Sydney"/>
    <s v="Sydney"/>
    <x v="1"/>
    <x v="3"/>
    <x v="2"/>
    <x v="3"/>
    <x v="112"/>
    <x v="0"/>
    <s v="Small Box"/>
    <x v="0"/>
    <d v="2016-12-26T00:00:00"/>
    <n v="52.07"/>
    <n v="83.98"/>
    <n v="31.910000000000004"/>
    <n v="38"/>
    <n v="3191.2400000000002"/>
    <n v="0"/>
    <n v="0"/>
    <n v="3191.2400000000002"/>
    <n v="5.01"/>
    <n v="3196.2500000000005"/>
  </r>
  <r>
    <s v="6541-1"/>
    <d v="2016-12-28T00:00:00"/>
    <x v="3"/>
    <x v="294"/>
    <s v="101 Murray Street"/>
    <s v="Perth"/>
    <x v="2"/>
    <x v="2"/>
    <x v="8"/>
    <x v="0"/>
    <x v="104"/>
    <x v="0"/>
    <s v="Small Box"/>
    <x v="0"/>
    <d v="2016-12-30T00:00:00"/>
    <n v="3.75"/>
    <n v="5.77"/>
    <n v="2.0199999999999996"/>
    <n v="42"/>
    <n v="242.33999999999997"/>
    <n v="0"/>
    <n v="0"/>
    <n v="242.33999999999997"/>
    <n v="4.97"/>
    <n v="247.30999999999997"/>
  </r>
  <r>
    <s v="6542-1"/>
    <d v="2016-12-28T00:00:00"/>
    <x v="3"/>
    <x v="530"/>
    <s v="24 Addison Rd,Marrickville"/>
    <s v="Sydney"/>
    <x v="1"/>
    <x v="2"/>
    <x v="13"/>
    <x v="4"/>
    <x v="76"/>
    <x v="0"/>
    <s v="Wrap Bag"/>
    <x v="0"/>
    <d v="2016-12-29T00:00:00"/>
    <n v="1.17"/>
    <n v="2.78"/>
    <n v="1.6099999999999999"/>
    <n v="48"/>
    <n v="133.44"/>
    <n v="0.03"/>
    <n v="4.0031999999999996"/>
    <n v="129.43680000000001"/>
    <n v="1.2"/>
    <n v="130.63679999999999"/>
  </r>
  <r>
    <s v="6543-1"/>
    <d v="2016-12-28T00:00:00"/>
    <x v="3"/>
    <x v="383"/>
    <s v="6 Mary St,Newtown"/>
    <s v="Sydney"/>
    <x v="1"/>
    <x v="1"/>
    <x v="6"/>
    <x v="4"/>
    <x v="25"/>
    <x v="1"/>
    <s v="Small Box"/>
    <x v="0"/>
    <d v="2016-12-29T00:00:00"/>
    <n v="10.07"/>
    <n v="15.98"/>
    <n v="5.91"/>
    <n v="14"/>
    <n v="223.72"/>
    <n v="0.05"/>
    <n v="11.186"/>
    <n v="212.53399999999999"/>
    <n v="4"/>
    <n v="216.53399999999999"/>
  </r>
  <r>
    <s v="6544-1"/>
    <d v="2016-12-31T00:00:00"/>
    <x v="3"/>
    <x v="146"/>
    <s v="3/219 Canley Vale Road,Canley Heights"/>
    <s v="Sydney"/>
    <x v="1"/>
    <x v="1"/>
    <x v="11"/>
    <x v="2"/>
    <x v="38"/>
    <x v="0"/>
    <s v="Small Box"/>
    <x v="0"/>
    <d v="2017-01-04T00:00:00"/>
    <n v="1.18"/>
    <n v="1.88"/>
    <n v="0.7"/>
    <n v="22"/>
    <n v="41.36"/>
    <n v="0.04"/>
    <n v="1.6544000000000001"/>
    <n v="39.705599999999997"/>
    <n v="1.49"/>
    <n v="41.195599999999999"/>
  </r>
  <r>
    <s v="6546-1"/>
    <d v="2017-01-03T00:00:00"/>
    <x v="4"/>
    <x v="315"/>
    <s v="485 Crown St,Surry Hills"/>
    <s v="Sydney"/>
    <x v="1"/>
    <x v="0"/>
    <x v="2"/>
    <x v="3"/>
    <x v="24"/>
    <x v="1"/>
    <s v="Small Box"/>
    <x v="0"/>
    <d v="2017-01-04T00:00:00"/>
    <n v="32.020000000000003"/>
    <n v="152.47999999999999"/>
    <n v="120.45999999999998"/>
    <n v="46"/>
    <n v="7014.08"/>
    <n v="0.04"/>
    <n v="280.56319999999999"/>
    <n v="6733.5168000000003"/>
    <n v="4"/>
    <n v="6737.5168000000003"/>
  </r>
  <r>
    <s v="6548-1"/>
    <d v="2017-01-04T00:00:00"/>
    <x v="4"/>
    <x v="4"/>
    <s v="18 Whistler St,Sydney"/>
    <s v="Sydney"/>
    <x v="1"/>
    <x v="2"/>
    <x v="3"/>
    <x v="5"/>
    <x v="128"/>
    <x v="0"/>
    <s v="Small Box"/>
    <x v="0"/>
    <d v="2017-01-05T00:00:00"/>
    <n v="1.84"/>
    <n v="2.88"/>
    <n v="1.0399999999999998"/>
    <n v="26"/>
    <n v="74.88"/>
    <n v="0.01"/>
    <n v="0.74880000000000002"/>
    <n v="74.131199999999993"/>
    <n v="0.99"/>
    <n v="75.121199999999988"/>
  </r>
  <r>
    <s v="6550-1"/>
    <d v="2017-01-04T00:00:00"/>
    <x v="4"/>
    <x v="109"/>
    <s v="Hoyts Entertainment Quarter 122 Lang Road,Moore Park"/>
    <s v="Sydney"/>
    <x v="1"/>
    <x v="3"/>
    <x v="8"/>
    <x v="4"/>
    <x v="53"/>
    <x v="0"/>
    <s v="Wrap Bag"/>
    <x v="0"/>
    <d v="2017-01-06T00:00:00"/>
    <n v="1.6"/>
    <n v="2.62"/>
    <n v="1.02"/>
    <n v="35"/>
    <n v="91.7"/>
    <n v="0.04"/>
    <n v="3.6680000000000001"/>
    <n v="88.031999999999996"/>
    <n v="0.8"/>
    <n v="88.831999999999994"/>
  </r>
  <r>
    <s v="6552-1"/>
    <d v="2017-01-06T00:00:00"/>
    <x v="4"/>
    <x v="531"/>
    <s v="324A King St,Newtown"/>
    <s v="Sydney"/>
    <x v="1"/>
    <x v="2"/>
    <x v="11"/>
    <x v="4"/>
    <x v="46"/>
    <x v="1"/>
    <s v="Small Box"/>
    <x v="0"/>
    <d v="2017-01-07T00:00:00"/>
    <n v="60.59"/>
    <n v="100.98"/>
    <n v="40.39"/>
    <n v="12"/>
    <n v="1211.76"/>
    <n v="0"/>
    <n v="0"/>
    <n v="1211.76"/>
    <n v="7.18"/>
    <n v="1218.94"/>
  </r>
  <r>
    <s v="6553-1"/>
    <d v="2017-01-10T00:00:00"/>
    <x v="4"/>
    <x v="334"/>
    <s v="1 John St,Waterloo"/>
    <s v="Sydney"/>
    <x v="1"/>
    <x v="0"/>
    <x v="10"/>
    <x v="4"/>
    <x v="128"/>
    <x v="0"/>
    <s v="Small Box"/>
    <x v="0"/>
    <d v="2017-01-11T00:00:00"/>
    <n v="1.84"/>
    <n v="2.88"/>
    <n v="1.0399999999999998"/>
    <n v="22"/>
    <n v="63.36"/>
    <n v="0.02"/>
    <n v="1.2672000000000001"/>
    <n v="62.092799999999997"/>
    <n v="0.99"/>
    <n v="63.082799999999999"/>
  </r>
  <r>
    <s v="6555-1"/>
    <d v="2017-01-11T00:00:00"/>
    <x v="4"/>
    <x v="291"/>
    <s v="27/580 Hay Street, Perth"/>
    <s v="Sydney"/>
    <x v="1"/>
    <x v="1"/>
    <x v="3"/>
    <x v="1"/>
    <x v="85"/>
    <x v="0"/>
    <s v="Small Pack"/>
    <x v="0"/>
    <d v="2017-01-13T00:00:00"/>
    <n v="5.19"/>
    <n v="12.98"/>
    <n v="7.79"/>
    <n v="49"/>
    <n v="636.02"/>
    <n v="0.02"/>
    <n v="12.7204"/>
    <n v="623.29959999999994"/>
    <n v="3.14"/>
    <n v="626.43959999999993"/>
  </r>
  <r>
    <s v="6557-1"/>
    <d v="2017-01-14T00:00:00"/>
    <x v="4"/>
    <x v="453"/>
    <s v="21 Wentworth St,Parramatta"/>
    <s v="Sydney"/>
    <x v="1"/>
    <x v="0"/>
    <x v="9"/>
    <x v="4"/>
    <x v="77"/>
    <x v="0"/>
    <s v="Small Box"/>
    <x v="0"/>
    <d v="2017-01-15T00:00:00"/>
    <n v="2.2599999999999998"/>
    <n v="3.58"/>
    <n v="1.3200000000000003"/>
    <n v="38"/>
    <n v="136.04"/>
    <n v="0.03"/>
    <n v="4.0811999999999999"/>
    <n v="131.9588"/>
    <n v="5.47"/>
    <n v="137.4288"/>
  </r>
  <r>
    <s v="6558-1"/>
    <d v="2017-01-17T00:00:00"/>
    <x v="4"/>
    <x v="532"/>
    <s v="101 Murray Street, Perth"/>
    <s v="Sydney"/>
    <x v="1"/>
    <x v="1"/>
    <x v="3"/>
    <x v="1"/>
    <x v="14"/>
    <x v="0"/>
    <s v="Small Box"/>
    <x v="0"/>
    <d v="2017-01-18T00:00:00"/>
    <n v="4.59"/>
    <n v="7.28"/>
    <n v="2.6900000000000004"/>
    <n v="39"/>
    <n v="283.92"/>
    <n v="0.08"/>
    <n v="22.713600000000003"/>
    <n v="261.20640000000003"/>
    <n v="11.15"/>
    <n v="272.35640000000001"/>
  </r>
  <r>
    <s v="6560-1"/>
    <d v="2017-01-18T00:00:00"/>
    <x v="4"/>
    <x v="148"/>
    <s v="127 Liverpool St,Sydney"/>
    <s v="Sydney"/>
    <x v="1"/>
    <x v="0"/>
    <x v="6"/>
    <x v="3"/>
    <x v="12"/>
    <x v="0"/>
    <s v="Wrap Bag"/>
    <x v="1"/>
    <d v="2017-01-20T00:00:00"/>
    <n v="0.71"/>
    <n v="1.1399999999999999"/>
    <n v="0.42999999999999994"/>
    <n v="14"/>
    <n v="15.959999999999999"/>
    <n v="0"/>
    <n v="0"/>
    <n v="15.959999999999999"/>
    <n v="0.7"/>
    <n v="16.66"/>
  </r>
  <r>
    <s v="6561-1"/>
    <d v="2017-01-19T00:00:00"/>
    <x v="4"/>
    <x v="255"/>
    <s v="88 Oxford St,Woollahra"/>
    <s v="Sydney"/>
    <x v="1"/>
    <x v="1"/>
    <x v="10"/>
    <x v="3"/>
    <x v="30"/>
    <x v="1"/>
    <s v="Medium Box"/>
    <x v="0"/>
    <d v="2017-01-21T00:00:00"/>
    <n v="8.82"/>
    <n v="20.99"/>
    <n v="12.169999999999998"/>
    <n v="29"/>
    <n v="608.70999999999992"/>
    <n v="0.03"/>
    <n v="18.261299999999999"/>
    <n v="590.44869999999992"/>
    <n v="4.8099999999999996"/>
    <n v="595.25869999999986"/>
  </r>
  <r>
    <s v="6562-1"/>
    <d v="2017-01-19T00:00:00"/>
    <x v="4"/>
    <x v="533"/>
    <s v="38/133-145 Castlereagh St,Sydney"/>
    <s v="Sydney"/>
    <x v="1"/>
    <x v="0"/>
    <x v="5"/>
    <x v="4"/>
    <x v="85"/>
    <x v="0"/>
    <s v="Small Pack"/>
    <x v="1"/>
    <d v="2017-01-21T00:00:00"/>
    <n v="5.19"/>
    <n v="12.98"/>
    <n v="7.79"/>
    <n v="10"/>
    <n v="129.80000000000001"/>
    <n v="0.05"/>
    <n v="6.4900000000000011"/>
    <n v="123.31000000000002"/>
    <n v="3.14"/>
    <n v="126.45000000000002"/>
  </r>
  <r>
    <s v="6564-1"/>
    <d v="2017-01-19T00:00:00"/>
    <x v="4"/>
    <x v="466"/>
    <s v="Crown Complex,Southbank"/>
    <s v="Melbourne"/>
    <x v="0"/>
    <x v="3"/>
    <x v="0"/>
    <x v="2"/>
    <x v="51"/>
    <x v="0"/>
    <s v="Small Box"/>
    <x v="1"/>
    <d v="2017-01-26T00:00:00"/>
    <n v="19.829999999999998"/>
    <n v="30.98"/>
    <n v="11.150000000000002"/>
    <n v="41"/>
    <n v="1270.18"/>
    <n v="0.04"/>
    <n v="50.807200000000002"/>
    <n v="1219.3728000000001"/>
    <n v="19.510000000000002"/>
    <n v="1238.8828000000001"/>
  </r>
  <r>
    <s v="6565-1"/>
    <d v="2017-01-20T00:00:00"/>
    <x v="4"/>
    <x v="315"/>
    <s v="485 Crown St,Surry Hills"/>
    <s v="Sydney"/>
    <x v="1"/>
    <x v="1"/>
    <x v="2"/>
    <x v="3"/>
    <x v="14"/>
    <x v="0"/>
    <s v="Small Box"/>
    <x v="0"/>
    <d v="2017-01-21T00:00:00"/>
    <n v="4.59"/>
    <n v="7.28"/>
    <n v="2.6900000000000004"/>
    <n v="24"/>
    <n v="174.72"/>
    <n v="0.1"/>
    <n v="17.472000000000001"/>
    <n v="157.24799999999999"/>
    <n v="11.15"/>
    <n v="168.398"/>
  </r>
  <r>
    <s v="6567-1"/>
    <d v="2017-01-23T00:00:00"/>
    <x v="4"/>
    <x v="350"/>
    <s v="85-113 Dunning Ave,Roseberry"/>
    <s v="Sydney"/>
    <x v="1"/>
    <x v="1"/>
    <x v="11"/>
    <x v="3"/>
    <x v="113"/>
    <x v="0"/>
    <s v="Wrap Bag"/>
    <x v="0"/>
    <d v="2017-01-25T00:00:00"/>
    <n v="2.16"/>
    <n v="3.85"/>
    <n v="1.69"/>
    <n v="18"/>
    <n v="69.3"/>
    <n v="0.04"/>
    <n v="2.7719999999999998"/>
    <n v="66.527999999999992"/>
    <n v="0.7"/>
    <n v="67.227999999999994"/>
  </r>
  <r>
    <s v="6569-1"/>
    <d v="2017-01-24T00:00:00"/>
    <x v="4"/>
    <x v="534"/>
    <s v="438 Victoria Avenue,Chatswood"/>
    <s v="Sydney"/>
    <x v="1"/>
    <x v="1"/>
    <x v="5"/>
    <x v="3"/>
    <x v="80"/>
    <x v="0"/>
    <s v="Small Box"/>
    <x v="0"/>
    <d v="2017-01-26T00:00:00"/>
    <n v="3.5"/>
    <n v="5.74"/>
    <n v="2.2400000000000002"/>
    <n v="46"/>
    <n v="264.04000000000002"/>
    <n v="0.05"/>
    <n v="13.202000000000002"/>
    <n v="250.83800000000002"/>
    <n v="5.01"/>
    <n v="255.84800000000001"/>
  </r>
  <r>
    <s v="6571-1"/>
    <d v="2017-01-26T00:00:00"/>
    <x v="4"/>
    <x v="362"/>
    <s v="180 High Street,Windsor"/>
    <s v="Melbourne"/>
    <x v="0"/>
    <x v="3"/>
    <x v="1"/>
    <x v="0"/>
    <x v="41"/>
    <x v="1"/>
    <s v="Small Box"/>
    <x v="0"/>
    <d v="2017-01-27T00:00:00"/>
    <n v="156.5"/>
    <n v="300.97000000000003"/>
    <n v="144.47000000000003"/>
    <n v="29"/>
    <n v="8728.130000000001"/>
    <n v="0.03"/>
    <n v="261.84390000000002"/>
    <n v="8466.2861000000012"/>
    <n v="7.18"/>
    <n v="8473.4661000000015"/>
  </r>
  <r>
    <s v="6572-1"/>
    <d v="2017-01-27T00:00:00"/>
    <x v="4"/>
    <x v="288"/>
    <s v="65 Palmerston Street"/>
    <s v="Perth"/>
    <x v="2"/>
    <x v="1"/>
    <x v="5"/>
    <x v="1"/>
    <x v="142"/>
    <x v="0"/>
    <s v="Small Box"/>
    <x v="0"/>
    <d v="2017-01-28T00:00:00"/>
    <n v="3.99"/>
    <n v="6.23"/>
    <n v="2.2400000000000002"/>
    <n v="25"/>
    <n v="155.75"/>
    <n v="7.0000000000000007E-2"/>
    <n v="10.902500000000002"/>
    <n v="144.8475"/>
    <n v="6.97"/>
    <n v="151.8175"/>
  </r>
  <r>
    <s v="6574-1"/>
    <d v="2017-01-30T00:00:00"/>
    <x v="4"/>
    <x v="89"/>
    <s v="Macquarie Centre Cnr Herring Road &amp; Waterloo Road,Macquarie Park"/>
    <s v="Sydney"/>
    <x v="1"/>
    <x v="0"/>
    <x v="3"/>
    <x v="3"/>
    <x v="3"/>
    <x v="1"/>
    <s v="Jumbo Drum"/>
    <x v="2"/>
    <d v="2017-02-02T00:00:00"/>
    <n v="75"/>
    <n v="120.97"/>
    <n v="45.97"/>
    <n v="4"/>
    <n v="483.88"/>
    <n v="7.0000000000000007E-2"/>
    <n v="33.871600000000001"/>
    <n v="450.00839999999999"/>
    <n v="26.3"/>
    <n v="476.30840000000001"/>
  </r>
  <r>
    <s v="6576-1"/>
    <d v="2017-02-01T00:00:00"/>
    <x v="4"/>
    <x v="535"/>
    <s v="12 Princess Hwy,Sylvania"/>
    <s v="Sydney"/>
    <x v="1"/>
    <x v="1"/>
    <x v="3"/>
    <x v="2"/>
    <x v="78"/>
    <x v="0"/>
    <s v="Small Pack"/>
    <x v="0"/>
    <d v="2017-02-05T00:00:00"/>
    <n v="1.46"/>
    <n v="3.57"/>
    <n v="2.11"/>
    <n v="25"/>
    <n v="89.25"/>
    <n v="0.01"/>
    <n v="0.89250000000000007"/>
    <n v="88.357500000000002"/>
    <n v="4.17"/>
    <n v="92.527500000000003"/>
  </r>
  <r>
    <s v="6577-1"/>
    <d v="2017-02-02T00:00:00"/>
    <x v="4"/>
    <x v="294"/>
    <s v="101 Murray Street"/>
    <s v="Perth"/>
    <x v="2"/>
    <x v="1"/>
    <x v="8"/>
    <x v="5"/>
    <x v="35"/>
    <x v="0"/>
    <s v="Wrap Bag"/>
    <x v="0"/>
    <d v="2017-02-04T00:00:00"/>
    <n v="3.75"/>
    <n v="7.08"/>
    <n v="3.33"/>
    <n v="46"/>
    <n v="325.68"/>
    <n v="0.1"/>
    <n v="32.568000000000005"/>
    <n v="293.11200000000002"/>
    <n v="2.35"/>
    <n v="295.46200000000005"/>
  </r>
  <r>
    <s v="6579-1"/>
    <d v="2017-02-03T00:00:00"/>
    <x v="4"/>
    <x v="1"/>
    <s v="76 Lindsay Street, Perth"/>
    <s v="Melbourne"/>
    <x v="0"/>
    <x v="0"/>
    <x v="1"/>
    <x v="0"/>
    <x v="22"/>
    <x v="0"/>
    <s v="Small Box"/>
    <x v="0"/>
    <d v="2017-02-05T00:00:00"/>
    <n v="1.59"/>
    <n v="2.61"/>
    <n v="1.0199999999999998"/>
    <n v="38"/>
    <n v="99.179999999999993"/>
    <n v="0.04"/>
    <n v="3.9671999999999996"/>
    <n v="95.212799999999987"/>
    <n v="0.5"/>
    <n v="95.712799999999987"/>
  </r>
  <r>
    <s v="6581-1"/>
    <d v="2017-02-04T00:00:00"/>
    <x v="4"/>
    <x v="536"/>
    <s v="438 Victoria Avenue,Chatswood"/>
    <s v="Sydney"/>
    <x v="1"/>
    <x v="3"/>
    <x v="5"/>
    <x v="0"/>
    <x v="37"/>
    <x v="0"/>
    <s v="Small Box"/>
    <x v="0"/>
    <d v="2017-02-05T00:00:00"/>
    <n v="13.64"/>
    <n v="20.98"/>
    <n v="7.34"/>
    <n v="41"/>
    <n v="860.18000000000006"/>
    <n v="0.05"/>
    <n v="43.009000000000007"/>
    <n v="817.17100000000005"/>
    <n v="1.49"/>
    <n v="818.66100000000006"/>
  </r>
  <r>
    <s v="6582-1"/>
    <d v="2017-02-05T00:00:00"/>
    <x v="4"/>
    <x v="14"/>
    <s v="14 Money Street, Perth"/>
    <s v="Sydney"/>
    <x v="1"/>
    <x v="0"/>
    <x v="7"/>
    <x v="4"/>
    <x v="37"/>
    <x v="0"/>
    <s v="Small Box"/>
    <x v="0"/>
    <d v="2017-02-07T00:00:00"/>
    <n v="13.64"/>
    <n v="20.98"/>
    <n v="7.34"/>
    <n v="2"/>
    <n v="41.96"/>
    <n v="0.01"/>
    <n v="0.41960000000000003"/>
    <n v="41.540399999999998"/>
    <n v="1.49"/>
    <n v="43.0304"/>
  </r>
  <r>
    <s v="6584-1"/>
    <d v="2017-02-07T00:00:00"/>
    <x v="4"/>
    <x v="285"/>
    <s v="240-242 Johnston Street,Fitzroy"/>
    <s v="Melbourne"/>
    <x v="0"/>
    <x v="0"/>
    <x v="1"/>
    <x v="2"/>
    <x v="23"/>
    <x v="1"/>
    <s v="Small Box"/>
    <x v="0"/>
    <m/>
    <n v="6.39"/>
    <n v="19.98"/>
    <n v="13.59"/>
    <n v="31"/>
    <n v="619.38"/>
    <n v="0"/>
    <n v="0"/>
    <n v="619.38"/>
    <n v="4"/>
    <n v="623.38"/>
  </r>
  <r>
    <s v="6586-1"/>
    <d v="2017-02-07T00:00:00"/>
    <x v="4"/>
    <x v="537"/>
    <s v="240-242 Johnston Street,Fitzroy"/>
    <s v="Melbourne"/>
    <x v="0"/>
    <x v="2"/>
    <x v="1"/>
    <x v="4"/>
    <x v="81"/>
    <x v="0"/>
    <s v="Wrap Bag"/>
    <x v="0"/>
    <m/>
    <n v="0.93"/>
    <n v="1.48"/>
    <n v="0.54999999999999993"/>
    <n v="10"/>
    <n v="14.8"/>
    <n v="0.1"/>
    <n v="1.4800000000000002"/>
    <n v="13.32"/>
    <n v="0.7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80269-E347-482A-BD14-B994F061193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25">
    <pivotField showAll="0"/>
    <pivotField numFmtId="14" showAll="0"/>
    <pivotField showAll="0"/>
    <pivotField showAll="0">
      <items count="539">
        <item x="103"/>
        <item x="18"/>
        <item x="76"/>
        <item x="214"/>
        <item x="88"/>
        <item x="281"/>
        <item x="475"/>
        <item x="520"/>
        <item x="472"/>
        <item x="443"/>
        <item x="394"/>
        <item x="389"/>
        <item x="258"/>
        <item x="373"/>
        <item x="73"/>
        <item x="96"/>
        <item x="1"/>
        <item x="158"/>
        <item x="138"/>
        <item x="526"/>
        <item x="117"/>
        <item x="48"/>
        <item x="243"/>
        <item x="231"/>
        <item x="352"/>
        <item x="128"/>
        <item x="532"/>
        <item x="354"/>
        <item x="182"/>
        <item x="396"/>
        <item x="412"/>
        <item x="359"/>
        <item x="431"/>
        <item x="54"/>
        <item x="401"/>
        <item x="375"/>
        <item x="14"/>
        <item x="266"/>
        <item x="245"/>
        <item x="300"/>
        <item x="183"/>
        <item x="367"/>
        <item x="436"/>
        <item x="408"/>
        <item x="303"/>
        <item x="407"/>
        <item x="253"/>
        <item x="27"/>
        <item x="449"/>
        <item x="291"/>
        <item x="311"/>
        <item x="49"/>
        <item x="522"/>
        <item x="171"/>
        <item x="87"/>
        <item x="528"/>
        <item x="280"/>
        <item x="82"/>
        <item x="444"/>
        <item x="399"/>
        <item x="64"/>
        <item x="252"/>
        <item x="191"/>
        <item x="516"/>
        <item x="169"/>
        <item x="210"/>
        <item x="265"/>
        <item x="435"/>
        <item x="46"/>
        <item x="368"/>
        <item x="44"/>
        <item x="110"/>
        <item x="371"/>
        <item x="227"/>
        <item x="307"/>
        <item x="174"/>
        <item x="388"/>
        <item x="232"/>
        <item x="351"/>
        <item x="195"/>
        <item x="112"/>
        <item x="502"/>
        <item x="406"/>
        <item x="342"/>
        <item x="298"/>
        <item x="217"/>
        <item x="134"/>
        <item x="70"/>
        <item x="347"/>
        <item x="278"/>
        <item x="466"/>
        <item x="116"/>
        <item x="305"/>
        <item x="514"/>
        <item x="306"/>
        <item x="218"/>
        <item x="208"/>
        <item x="329"/>
        <item x="295"/>
        <item x="92"/>
        <item x="180"/>
        <item x="130"/>
        <item x="493"/>
        <item x="17"/>
        <item x="260"/>
        <item x="508"/>
        <item x="331"/>
        <item x="411"/>
        <item x="246"/>
        <item x="36"/>
        <item x="84"/>
        <item x="381"/>
        <item x="97"/>
        <item x="249"/>
        <item x="294"/>
        <item x="380"/>
        <item x="141"/>
        <item x="344"/>
        <item x="460"/>
        <item x="495"/>
        <item x="339"/>
        <item x="241"/>
        <item x="477"/>
        <item x="95"/>
        <item x="23"/>
        <item x="256"/>
        <item x="370"/>
        <item x="457"/>
        <item x="109"/>
        <item x="132"/>
        <item x="505"/>
        <item x="428"/>
        <item x="433"/>
        <item x="145"/>
        <item x="447"/>
        <item x="487"/>
        <item x="259"/>
        <item x="488"/>
        <item x="34"/>
        <item x="15"/>
        <item x="118"/>
        <item x="143"/>
        <item x="189"/>
        <item x="334"/>
        <item x="37"/>
        <item x="106"/>
        <item x="509"/>
        <item x="346"/>
        <item x="230"/>
        <item x="469"/>
        <item x="61"/>
        <item x="500"/>
        <item x="471"/>
        <item x="213"/>
        <item x="79"/>
        <item x="176"/>
        <item x="445"/>
        <item x="153"/>
        <item x="200"/>
        <item x="382"/>
        <item x="275"/>
        <item x="50"/>
        <item x="379"/>
        <item x="247"/>
        <item x="181"/>
        <item x="459"/>
        <item x="175"/>
        <item x="478"/>
        <item x="283"/>
        <item x="348"/>
        <item x="340"/>
        <item x="177"/>
        <item x="319"/>
        <item x="144"/>
        <item x="277"/>
        <item x="20"/>
        <item x="104"/>
        <item x="212"/>
        <item x="422"/>
        <item x="333"/>
        <item x="201"/>
        <item x="476"/>
        <item x="91"/>
        <item x="398"/>
        <item x="207"/>
        <item x="62"/>
        <item x="21"/>
        <item x="157"/>
        <item x="364"/>
        <item x="41"/>
        <item x="159"/>
        <item x="75"/>
        <item x="53"/>
        <item x="437"/>
        <item x="410"/>
        <item x="377"/>
        <item x="257"/>
        <item x="136"/>
        <item x="485"/>
        <item x="251"/>
        <item x="421"/>
        <item x="127"/>
        <item x="290"/>
        <item x="167"/>
        <item x="448"/>
        <item x="440"/>
        <item x="268"/>
        <item x="292"/>
        <item x="391"/>
        <item x="85"/>
        <item x="296"/>
        <item x="71"/>
        <item x="9"/>
        <item x="38"/>
        <item x="121"/>
        <item x="326"/>
        <item x="313"/>
        <item x="378"/>
        <item x="383"/>
        <item x="226"/>
        <item x="362"/>
        <item x="100"/>
        <item x="324"/>
        <item x="479"/>
        <item x="188"/>
        <item x="172"/>
        <item x="194"/>
        <item x="474"/>
        <item x="343"/>
        <item x="289"/>
        <item x="413"/>
        <item x="29"/>
        <item x="263"/>
        <item x="297"/>
        <item x="434"/>
        <item x="63"/>
        <item x="155"/>
        <item x="125"/>
        <item x="43"/>
        <item x="341"/>
        <item x="525"/>
        <item x="108"/>
        <item x="492"/>
        <item x="150"/>
        <item x="350"/>
        <item x="93"/>
        <item x="284"/>
        <item x="314"/>
        <item x="58"/>
        <item x="489"/>
        <item x="66"/>
        <item x="254"/>
        <item x="238"/>
        <item x="338"/>
        <item x="113"/>
        <item x="133"/>
        <item x="494"/>
        <item x="250"/>
        <item x="279"/>
        <item x="308"/>
        <item x="521"/>
        <item x="363"/>
        <item x="511"/>
        <item x="135"/>
        <item x="170"/>
        <item x="452"/>
        <item x="535"/>
        <item x="57"/>
        <item x="315"/>
        <item x="267"/>
        <item x="240"/>
        <item x="446"/>
        <item x="83"/>
        <item x="202"/>
        <item x="220"/>
        <item x="162"/>
        <item x="22"/>
        <item x="451"/>
        <item x="404"/>
        <item x="90"/>
        <item x="11"/>
        <item x="499"/>
        <item x="337"/>
        <item x="372"/>
        <item x="335"/>
        <item x="101"/>
        <item x="288"/>
        <item x="361"/>
        <item x="273"/>
        <item x="229"/>
        <item x="52"/>
        <item x="28"/>
        <item x="517"/>
        <item x="242"/>
        <item x="534"/>
        <item x="192"/>
        <item x="149"/>
        <item x="425"/>
        <item x="168"/>
        <item x="24"/>
        <item x="524"/>
        <item x="533"/>
        <item x="392"/>
        <item x="490"/>
        <item x="318"/>
        <item x="211"/>
        <item x="322"/>
        <item x="248"/>
        <item x="309"/>
        <item x="510"/>
        <item x="529"/>
        <item x="152"/>
        <item x="69"/>
        <item x="39"/>
        <item x="120"/>
        <item x="105"/>
        <item x="198"/>
        <item x="518"/>
        <item x="51"/>
        <item x="255"/>
        <item x="415"/>
        <item x="35"/>
        <item x="409"/>
        <item x="323"/>
        <item x="432"/>
        <item x="272"/>
        <item x="131"/>
        <item x="285"/>
        <item x="126"/>
        <item x="274"/>
        <item x="187"/>
        <item x="467"/>
        <item x="197"/>
        <item x="215"/>
        <item x="523"/>
        <item x="496"/>
        <item x="327"/>
        <item x="503"/>
        <item x="317"/>
        <item x="402"/>
        <item x="336"/>
        <item x="119"/>
        <item x="423"/>
        <item x="165"/>
        <item x="506"/>
        <item x="244"/>
        <item x="393"/>
        <item x="16"/>
        <item x="124"/>
        <item x="468"/>
        <item x="193"/>
        <item x="332"/>
        <item x="219"/>
        <item x="501"/>
        <item x="504"/>
        <item x="403"/>
        <item x="384"/>
        <item x="237"/>
        <item x="233"/>
        <item x="19"/>
        <item x="129"/>
        <item x="262"/>
        <item x="225"/>
        <item x="59"/>
        <item x="77"/>
        <item x="80"/>
        <item x="261"/>
        <item x="484"/>
        <item x="4"/>
        <item x="115"/>
        <item x="427"/>
        <item x="32"/>
        <item x="184"/>
        <item x="12"/>
        <item x="507"/>
        <item x="293"/>
        <item x="114"/>
        <item x="60"/>
        <item x="470"/>
        <item x="94"/>
        <item x="357"/>
        <item x="316"/>
        <item x="25"/>
        <item x="454"/>
        <item x="420"/>
        <item x="65"/>
        <item x="416"/>
        <item x="418"/>
        <item x="287"/>
        <item x="5"/>
        <item x="205"/>
        <item x="30"/>
        <item x="223"/>
        <item x="455"/>
        <item x="0"/>
        <item x="186"/>
        <item x="453"/>
        <item x="390"/>
        <item x="456"/>
        <item x="72"/>
        <item x="140"/>
        <item x="10"/>
        <item x="209"/>
        <item x="86"/>
        <item x="387"/>
        <item x="310"/>
        <item x="491"/>
        <item x="156"/>
        <item x="376"/>
        <item x="270"/>
        <item x="179"/>
        <item x="160"/>
        <item x="512"/>
        <item x="461"/>
        <item x="349"/>
        <item x="405"/>
        <item x="221"/>
        <item x="497"/>
        <item x="264"/>
        <item x="56"/>
        <item x="385"/>
        <item x="429"/>
        <item x="397"/>
        <item x="239"/>
        <item x="55"/>
        <item x="89"/>
        <item x="7"/>
        <item x="513"/>
        <item x="236"/>
        <item x="26"/>
        <item x="321"/>
        <item x="463"/>
        <item x="304"/>
        <item x="536"/>
        <item x="222"/>
        <item x="486"/>
        <item x="74"/>
        <item x="353"/>
        <item x="430"/>
        <item x="45"/>
        <item x="286"/>
        <item x="473"/>
        <item x="519"/>
        <item x="424"/>
        <item x="302"/>
        <item x="465"/>
        <item x="203"/>
        <item x="185"/>
        <item x="206"/>
        <item x="178"/>
        <item x="81"/>
        <item x="355"/>
        <item x="123"/>
        <item x="163"/>
        <item x="190"/>
        <item x="458"/>
        <item x="42"/>
        <item x="68"/>
        <item x="13"/>
        <item x="6"/>
        <item x="98"/>
        <item x="480"/>
        <item x="439"/>
        <item x="146"/>
        <item x="483"/>
        <item x="515"/>
        <item x="276"/>
        <item x="464"/>
        <item x="386"/>
        <item x="365"/>
        <item x="111"/>
        <item x="269"/>
        <item x="400"/>
        <item x="531"/>
        <item x="137"/>
        <item x="419"/>
        <item x="224"/>
        <item x="67"/>
        <item x="462"/>
        <item x="78"/>
        <item x="481"/>
        <item x="450"/>
        <item x="148"/>
        <item x="438"/>
        <item x="199"/>
        <item x="360"/>
        <item x="3"/>
        <item x="196"/>
        <item x="139"/>
        <item x="395"/>
        <item x="2"/>
        <item x="441"/>
        <item x="142"/>
        <item x="164"/>
        <item x="47"/>
        <item x="498"/>
        <item x="40"/>
        <item x="325"/>
        <item x="527"/>
        <item x="537"/>
        <item x="161"/>
        <item x="356"/>
        <item x="330"/>
        <item x="312"/>
        <item x="414"/>
        <item x="147"/>
        <item x="8"/>
        <item x="328"/>
        <item x="366"/>
        <item x="154"/>
        <item x="345"/>
        <item x="282"/>
        <item x="173"/>
        <item x="102"/>
        <item x="235"/>
        <item x="417"/>
        <item x="358"/>
        <item x="530"/>
        <item x="216"/>
        <item x="33"/>
        <item x="299"/>
        <item x="166"/>
        <item x="374"/>
        <item x="107"/>
        <item x="369"/>
        <item x="482"/>
        <item x="301"/>
        <item x="426"/>
        <item x="122"/>
        <item x="151"/>
        <item x="271"/>
        <item x="320"/>
        <item x="442"/>
        <item x="234"/>
        <item x="99"/>
        <item x="31"/>
        <item x="228"/>
        <item x="204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148">
        <item x="5"/>
        <item x="30"/>
        <item x="34"/>
        <item x="123"/>
        <item x="93"/>
        <item x="54"/>
        <item x="102"/>
        <item x="84"/>
        <item x="92"/>
        <item x="33"/>
        <item x="127"/>
        <item x="24"/>
        <item x="117"/>
        <item x="145"/>
        <item x="125"/>
        <item x="39"/>
        <item x="87"/>
        <item x="14"/>
        <item x="45"/>
        <item x="119"/>
        <item x="143"/>
        <item x="36"/>
        <item x="112"/>
        <item x="94"/>
        <item x="116"/>
        <item x="140"/>
        <item x="13"/>
        <item x="107"/>
        <item x="101"/>
        <item x="89"/>
        <item x="85"/>
        <item x="128"/>
        <item x="106"/>
        <item x="22"/>
        <item x="40"/>
        <item x="73"/>
        <item x="97"/>
        <item x="11"/>
        <item x="86"/>
        <item x="104"/>
        <item x="75"/>
        <item x="99"/>
        <item x="131"/>
        <item x="31"/>
        <item x="70"/>
        <item x="0"/>
        <item x="121"/>
        <item x="137"/>
        <item x="49"/>
        <item x="105"/>
        <item x="113"/>
        <item x="69"/>
        <item x="142"/>
        <item x="37"/>
        <item x="61"/>
        <item x="77"/>
        <item x="27"/>
        <item x="9"/>
        <item x="136"/>
        <item x="132"/>
        <item x="124"/>
        <item x="65"/>
        <item x="78"/>
        <item x="23"/>
        <item x="71"/>
        <item x="81"/>
        <item x="80"/>
        <item x="79"/>
        <item x="114"/>
        <item x="95"/>
        <item x="67"/>
        <item x="3"/>
        <item x="141"/>
        <item x="43"/>
        <item x="133"/>
        <item x="126"/>
        <item x="115"/>
        <item x="50"/>
        <item x="91"/>
        <item x="62"/>
        <item x="32"/>
        <item x="1"/>
        <item x="56"/>
        <item x="82"/>
        <item x="20"/>
        <item x="74"/>
        <item x="109"/>
        <item x="122"/>
        <item x="72"/>
        <item x="146"/>
        <item x="57"/>
        <item x="110"/>
        <item x="48"/>
        <item x="29"/>
        <item x="98"/>
        <item x="2"/>
        <item x="6"/>
        <item x="90"/>
        <item x="19"/>
        <item x="120"/>
        <item x="42"/>
        <item x="12"/>
        <item x="55"/>
        <item x="100"/>
        <item x="76"/>
        <item x="7"/>
        <item x="10"/>
        <item x="58"/>
        <item x="83"/>
        <item x="144"/>
        <item x="108"/>
        <item x="118"/>
        <item x="51"/>
        <item x="135"/>
        <item x="38"/>
        <item x="16"/>
        <item x="53"/>
        <item x="129"/>
        <item x="63"/>
        <item x="21"/>
        <item x="139"/>
        <item x="26"/>
        <item x="18"/>
        <item x="96"/>
        <item x="15"/>
        <item x="134"/>
        <item x="4"/>
        <item x="28"/>
        <item x="64"/>
        <item x="35"/>
        <item x="103"/>
        <item x="25"/>
        <item x="130"/>
        <item x="46"/>
        <item x="138"/>
        <item x="88"/>
        <item x="68"/>
        <item x="60"/>
        <item x="59"/>
        <item x="8"/>
        <item x="17"/>
        <item x="66"/>
        <item x="41"/>
        <item x="111"/>
        <item x="47"/>
        <item x="52"/>
        <item x="4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164F5-2BA2-44F9-929D-99D2920D517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6:C35" firstHeaderRow="0" firstDataRow="1" firstDataCol="1"/>
  <pivotFields count="25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2">
    <field x="6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otal" fld="24" subtotal="count" baseField="0" baseItem="0"/>
    <dataField name="Count of Account Manager" fld="8" subtotal="count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4E1FA-B72E-4EC7-8F09-6468F2DC14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8E90A-C80C-4D22-9703-2AB7210698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97" firstHeaderRow="1" firstDataRow="2" firstDataCol="1"/>
  <pivotFields count="25">
    <pivotField showAll="0"/>
    <pivotField numFmtId="14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</pivotField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2">
    <field x="8"/>
    <field x="9"/>
  </rowFields>
  <rowItems count="86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7BED-9FB2-41EC-A3E0-E0F6B3D78E25}">
  <dimension ref="A3:C35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24.109375" bestFit="1" customWidth="1"/>
    <col min="4" max="5" width="7" bestFit="1" customWidth="1"/>
    <col min="6" max="6" width="6" bestFit="1" customWidth="1"/>
    <col min="7" max="7" width="10.77734375" bestFit="1" customWidth="1"/>
  </cols>
  <sheetData>
    <row r="3" spans="1:3" x14ac:dyDescent="0.3">
      <c r="A3" s="10" t="s">
        <v>40</v>
      </c>
      <c r="B3" t="s">
        <v>42</v>
      </c>
    </row>
    <row r="4" spans="1:3" x14ac:dyDescent="0.3">
      <c r="A4" s="9" t="s">
        <v>28</v>
      </c>
      <c r="B4">
        <v>30349.388800000001</v>
      </c>
    </row>
    <row r="5" spans="1:3" x14ac:dyDescent="0.3">
      <c r="A5" s="9" t="s">
        <v>9</v>
      </c>
      <c r="B5">
        <v>324091.78369999962</v>
      </c>
    </row>
    <row r="6" spans="1:3" x14ac:dyDescent="0.3">
      <c r="A6" s="9" t="s">
        <v>6</v>
      </c>
      <c r="B6">
        <v>784365.75706199976</v>
      </c>
    </row>
    <row r="7" spans="1:3" x14ac:dyDescent="0.3">
      <c r="A7" s="9" t="s">
        <v>41</v>
      </c>
      <c r="B7">
        <v>1138806.9295619994</v>
      </c>
    </row>
    <row r="16" spans="1:3" x14ac:dyDescent="0.3">
      <c r="A16" s="10" t="s">
        <v>40</v>
      </c>
      <c r="B16" t="s">
        <v>48</v>
      </c>
      <c r="C16" t="s">
        <v>49</v>
      </c>
    </row>
    <row r="17" spans="1:3" x14ac:dyDescent="0.3">
      <c r="A17" s="9" t="s">
        <v>10</v>
      </c>
      <c r="B17">
        <v>646</v>
      </c>
      <c r="C17">
        <v>646</v>
      </c>
    </row>
    <row r="18" spans="1:3" x14ac:dyDescent="0.3">
      <c r="A18" s="11" t="s">
        <v>43</v>
      </c>
      <c r="B18">
        <v>138</v>
      </c>
      <c r="C18">
        <v>138</v>
      </c>
    </row>
    <row r="19" spans="1:3" x14ac:dyDescent="0.3">
      <c r="A19" s="11" t="s">
        <v>44</v>
      </c>
      <c r="B19">
        <v>147</v>
      </c>
      <c r="C19">
        <v>147</v>
      </c>
    </row>
    <row r="20" spans="1:3" x14ac:dyDescent="0.3">
      <c r="A20" s="11" t="s">
        <v>45</v>
      </c>
      <c r="B20">
        <v>162</v>
      </c>
      <c r="C20">
        <v>162</v>
      </c>
    </row>
    <row r="21" spans="1:3" x14ac:dyDescent="0.3">
      <c r="A21" s="11" t="s">
        <v>46</v>
      </c>
      <c r="B21">
        <v>181</v>
      </c>
      <c r="C21">
        <v>181</v>
      </c>
    </row>
    <row r="22" spans="1:3" x14ac:dyDescent="0.3">
      <c r="A22" s="11" t="s">
        <v>47</v>
      </c>
      <c r="B22">
        <v>18</v>
      </c>
      <c r="C22">
        <v>18</v>
      </c>
    </row>
    <row r="23" spans="1:3" x14ac:dyDescent="0.3">
      <c r="A23" s="9" t="s">
        <v>2</v>
      </c>
      <c r="B23">
        <v>289</v>
      </c>
      <c r="C23">
        <v>289</v>
      </c>
    </row>
    <row r="24" spans="1:3" x14ac:dyDescent="0.3">
      <c r="A24" s="11" t="s">
        <v>43</v>
      </c>
      <c r="B24">
        <v>66</v>
      </c>
      <c r="C24">
        <v>66</v>
      </c>
    </row>
    <row r="25" spans="1:3" x14ac:dyDescent="0.3">
      <c r="A25" s="11" t="s">
        <v>44</v>
      </c>
      <c r="B25">
        <v>70</v>
      </c>
      <c r="C25">
        <v>70</v>
      </c>
    </row>
    <row r="26" spans="1:3" x14ac:dyDescent="0.3">
      <c r="A26" s="11" t="s">
        <v>45</v>
      </c>
      <c r="B26">
        <v>89</v>
      </c>
      <c r="C26">
        <v>89</v>
      </c>
    </row>
    <row r="27" spans="1:3" x14ac:dyDescent="0.3">
      <c r="A27" s="11" t="s">
        <v>46</v>
      </c>
      <c r="B27">
        <v>59</v>
      </c>
      <c r="C27">
        <v>59</v>
      </c>
    </row>
    <row r="28" spans="1:3" x14ac:dyDescent="0.3">
      <c r="A28" s="11" t="s">
        <v>47</v>
      </c>
      <c r="B28">
        <v>5</v>
      </c>
      <c r="C28">
        <v>5</v>
      </c>
    </row>
    <row r="29" spans="1:3" x14ac:dyDescent="0.3">
      <c r="A29" s="9" t="s">
        <v>36</v>
      </c>
      <c r="B29">
        <v>104</v>
      </c>
      <c r="C29">
        <v>104</v>
      </c>
    </row>
    <row r="30" spans="1:3" x14ac:dyDescent="0.3">
      <c r="A30" s="11" t="s">
        <v>43</v>
      </c>
      <c r="B30">
        <v>17</v>
      </c>
      <c r="C30">
        <v>17</v>
      </c>
    </row>
    <row r="31" spans="1:3" x14ac:dyDescent="0.3">
      <c r="A31" s="11" t="s">
        <v>44</v>
      </c>
      <c r="B31">
        <v>25</v>
      </c>
      <c r="C31">
        <v>25</v>
      </c>
    </row>
    <row r="32" spans="1:3" x14ac:dyDescent="0.3">
      <c r="A32" s="11" t="s">
        <v>45</v>
      </c>
      <c r="B32">
        <v>27</v>
      </c>
      <c r="C32">
        <v>27</v>
      </c>
    </row>
    <row r="33" spans="1:3" x14ac:dyDescent="0.3">
      <c r="A33" s="11" t="s">
        <v>46</v>
      </c>
      <c r="B33">
        <v>33</v>
      </c>
      <c r="C33">
        <v>33</v>
      </c>
    </row>
    <row r="34" spans="1:3" x14ac:dyDescent="0.3">
      <c r="A34" s="11" t="s">
        <v>47</v>
      </c>
      <c r="B34">
        <v>2</v>
      </c>
      <c r="C34">
        <v>2</v>
      </c>
    </row>
    <row r="35" spans="1:3" x14ac:dyDescent="0.3">
      <c r="A35" s="9" t="s">
        <v>41</v>
      </c>
      <c r="B35">
        <v>1039</v>
      </c>
      <c r="C35">
        <v>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36D8-93B1-41C1-AA02-E04537C7A723}">
  <dimension ref="A3:G97"/>
  <sheetViews>
    <sheetView tabSelected="1" workbookViewId="0">
      <selection activeCell="A5" sqref="A5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5" width="12" bestFit="1" customWidth="1"/>
    <col min="6" max="6" width="11" bestFit="1" customWidth="1"/>
    <col min="7" max="7" width="12" bestFit="1" customWidth="1"/>
  </cols>
  <sheetData>
    <row r="3" spans="1:7" x14ac:dyDescent="0.3">
      <c r="A3" s="10" t="s">
        <v>40</v>
      </c>
      <c r="B3" t="s">
        <v>42</v>
      </c>
    </row>
    <row r="4" spans="1:7" x14ac:dyDescent="0.3">
      <c r="A4" s="9" t="s">
        <v>7</v>
      </c>
      <c r="B4">
        <v>191942.84669999999</v>
      </c>
    </row>
    <row r="5" spans="1:7" x14ac:dyDescent="0.3">
      <c r="A5" s="9" t="s">
        <v>15</v>
      </c>
      <c r="B5">
        <v>389261.09106200002</v>
      </c>
    </row>
    <row r="6" spans="1:7" x14ac:dyDescent="0.3">
      <c r="A6" s="9" t="s">
        <v>3</v>
      </c>
      <c r="B6">
        <v>272528.74299999984</v>
      </c>
    </row>
    <row r="7" spans="1:7" x14ac:dyDescent="0.3">
      <c r="A7" s="9" t="s">
        <v>12</v>
      </c>
      <c r="B7">
        <v>285074.24880000018</v>
      </c>
    </row>
    <row r="8" spans="1:7" x14ac:dyDescent="0.3">
      <c r="A8" s="9" t="s">
        <v>41</v>
      </c>
      <c r="B8">
        <v>1138806.9295620001</v>
      </c>
    </row>
    <row r="10" spans="1:7" x14ac:dyDescent="0.3">
      <c r="A10" s="10" t="s">
        <v>42</v>
      </c>
      <c r="B10" s="10" t="s">
        <v>50</v>
      </c>
    </row>
    <row r="11" spans="1:7" x14ac:dyDescent="0.3">
      <c r="A11" s="10" t="s">
        <v>40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41</v>
      </c>
    </row>
    <row r="12" spans="1:7" x14ac:dyDescent="0.3">
      <c r="A12" s="9" t="s">
        <v>25</v>
      </c>
      <c r="B12">
        <v>20296.341799999998</v>
      </c>
      <c r="C12">
        <v>4190.5550999999996</v>
      </c>
      <c r="D12">
        <v>2993.3496000000005</v>
      </c>
      <c r="E12">
        <v>41701.218700000005</v>
      </c>
      <c r="F12">
        <v>137.4288</v>
      </c>
      <c r="G12">
        <v>69318.894</v>
      </c>
    </row>
    <row r="13" spans="1:7" x14ac:dyDescent="0.3">
      <c r="A13" s="11" t="s">
        <v>19</v>
      </c>
      <c r="B13">
        <v>7594.4588000000003</v>
      </c>
      <c r="C13">
        <v>1760.8294999999998</v>
      </c>
      <c r="D13">
        <v>493.49639999999999</v>
      </c>
      <c r="E13">
        <v>1121.9916000000003</v>
      </c>
      <c r="G13">
        <v>10970.776300000001</v>
      </c>
    </row>
    <row r="14" spans="1:7" x14ac:dyDescent="0.3">
      <c r="A14" s="11" t="s">
        <v>14</v>
      </c>
      <c r="B14">
        <v>5416.0227999999988</v>
      </c>
      <c r="C14">
        <v>228.02199999999999</v>
      </c>
      <c r="D14">
        <v>436.54899999999998</v>
      </c>
      <c r="E14">
        <v>23871.072400000001</v>
      </c>
      <c r="G14">
        <v>29951.6662</v>
      </c>
    </row>
    <row r="15" spans="1:7" x14ac:dyDescent="0.3">
      <c r="A15" s="11" t="s">
        <v>5</v>
      </c>
      <c r="B15">
        <v>1299.9772</v>
      </c>
      <c r="C15">
        <v>84.69</v>
      </c>
      <c r="D15">
        <v>1012.7981</v>
      </c>
      <c r="E15">
        <v>5139.9155000000001</v>
      </c>
      <c r="G15">
        <v>7537.3807999999999</v>
      </c>
    </row>
    <row r="16" spans="1:7" x14ac:dyDescent="0.3">
      <c r="A16" s="11" t="s">
        <v>8</v>
      </c>
      <c r="B16">
        <v>153.05840000000001</v>
      </c>
      <c r="C16">
        <v>253.17799999999997</v>
      </c>
      <c r="D16">
        <v>307.74649999999997</v>
      </c>
      <c r="E16">
        <v>7642.2515999999996</v>
      </c>
      <c r="F16">
        <v>137.4288</v>
      </c>
      <c r="G16">
        <v>8493.6632999999983</v>
      </c>
    </row>
    <row r="17" spans="1:7" x14ac:dyDescent="0.3">
      <c r="A17" s="11" t="s">
        <v>17</v>
      </c>
      <c r="B17">
        <v>5832.8246000000008</v>
      </c>
      <c r="C17">
        <v>1863.8356000000001</v>
      </c>
      <c r="D17">
        <v>742.75960000000009</v>
      </c>
      <c r="E17">
        <v>3925.9876000000004</v>
      </c>
      <c r="G17">
        <v>12365.407400000002</v>
      </c>
    </row>
    <row r="18" spans="1:7" x14ac:dyDescent="0.3">
      <c r="A18" s="9" t="s">
        <v>22</v>
      </c>
      <c r="B18">
        <v>5187.7125999999998</v>
      </c>
      <c r="C18">
        <v>33803.7598</v>
      </c>
      <c r="D18">
        <v>13366.221600000001</v>
      </c>
      <c r="E18">
        <v>2722.2123000000001</v>
      </c>
      <c r="F18">
        <v>658.34149999999988</v>
      </c>
      <c r="G18">
        <v>55738.247799999997</v>
      </c>
    </row>
    <row r="19" spans="1:7" x14ac:dyDescent="0.3">
      <c r="A19" s="11" t="s">
        <v>19</v>
      </c>
      <c r="B19">
        <v>603.41800000000001</v>
      </c>
      <c r="C19">
        <v>1230.5011</v>
      </c>
      <c r="D19">
        <v>258.19839999999999</v>
      </c>
      <c r="E19">
        <v>111.0958</v>
      </c>
      <c r="G19">
        <v>2203.2133000000003</v>
      </c>
    </row>
    <row r="20" spans="1:7" x14ac:dyDescent="0.3">
      <c r="A20" s="11" t="s">
        <v>14</v>
      </c>
      <c r="B20">
        <v>776.58920000000001</v>
      </c>
      <c r="C20">
        <v>1624.9843999999998</v>
      </c>
      <c r="D20">
        <v>11005.9462</v>
      </c>
      <c r="E20">
        <v>664.87760000000003</v>
      </c>
      <c r="G20">
        <v>14072.3974</v>
      </c>
    </row>
    <row r="21" spans="1:7" x14ac:dyDescent="0.3">
      <c r="A21" s="11" t="s">
        <v>5</v>
      </c>
      <c r="B21">
        <v>3665.2439999999997</v>
      </c>
      <c r="C21">
        <v>6812.335</v>
      </c>
      <c r="D21">
        <v>573.40779999999995</v>
      </c>
      <c r="E21">
        <v>321.71960000000001</v>
      </c>
      <c r="G21">
        <v>11372.706399999999</v>
      </c>
    </row>
    <row r="22" spans="1:7" x14ac:dyDescent="0.3">
      <c r="A22" s="11" t="s">
        <v>8</v>
      </c>
      <c r="B22">
        <v>142.46140000000003</v>
      </c>
      <c r="C22">
        <v>6875.4934999999996</v>
      </c>
      <c r="D22">
        <v>1528.6692</v>
      </c>
      <c r="E22">
        <v>1316.3287999999998</v>
      </c>
      <c r="F22">
        <v>63.082799999999999</v>
      </c>
      <c r="G22">
        <v>9926.0356999999985</v>
      </c>
    </row>
    <row r="23" spans="1:7" x14ac:dyDescent="0.3">
      <c r="A23" s="11" t="s">
        <v>17</v>
      </c>
      <c r="C23">
        <v>17260.445800000001</v>
      </c>
      <c r="E23">
        <v>308.19050000000004</v>
      </c>
      <c r="F23">
        <v>595.25869999999986</v>
      </c>
      <c r="G23">
        <v>18163.895</v>
      </c>
    </row>
    <row r="24" spans="1:7" x14ac:dyDescent="0.3">
      <c r="A24" s="9" t="s">
        <v>4</v>
      </c>
      <c r="B24">
        <v>8706.8624999999993</v>
      </c>
      <c r="C24">
        <v>27899.607299999996</v>
      </c>
      <c r="D24">
        <v>41877.791500000007</v>
      </c>
      <c r="E24">
        <v>47802.912599999996</v>
      </c>
      <c r="F24">
        <v>9206.5789000000004</v>
      </c>
      <c r="G24">
        <v>135493.75279999999</v>
      </c>
    </row>
    <row r="25" spans="1:7" x14ac:dyDescent="0.3">
      <c r="A25" s="11" t="s">
        <v>19</v>
      </c>
      <c r="B25">
        <v>482.00779999999997</v>
      </c>
      <c r="C25">
        <v>2373.1283999999996</v>
      </c>
      <c r="D25">
        <v>4672.6938</v>
      </c>
      <c r="E25">
        <v>18912.417199999996</v>
      </c>
      <c r="G25">
        <v>26440.247199999998</v>
      </c>
    </row>
    <row r="26" spans="1:7" x14ac:dyDescent="0.3">
      <c r="A26" s="11" t="s">
        <v>14</v>
      </c>
      <c r="B26">
        <v>2678.8808000000004</v>
      </c>
      <c r="C26">
        <v>1608.5468000000001</v>
      </c>
      <c r="D26">
        <v>3167.7571999999996</v>
      </c>
      <c r="E26">
        <v>23023.926199999998</v>
      </c>
      <c r="F26">
        <v>8569.1789000000008</v>
      </c>
      <c r="G26">
        <v>39048.289899999996</v>
      </c>
    </row>
    <row r="27" spans="1:7" x14ac:dyDescent="0.3">
      <c r="A27" s="11" t="s">
        <v>5</v>
      </c>
      <c r="B27">
        <v>1188.9315999999999</v>
      </c>
      <c r="C27">
        <v>16149.545199999999</v>
      </c>
      <c r="D27">
        <v>2653.5528999999997</v>
      </c>
      <c r="E27">
        <v>2632.3843999999999</v>
      </c>
      <c r="F27">
        <v>623.38</v>
      </c>
      <c r="G27">
        <v>23247.794099999996</v>
      </c>
    </row>
    <row r="28" spans="1:7" x14ac:dyDescent="0.3">
      <c r="A28" s="11" t="s">
        <v>8</v>
      </c>
      <c r="B28">
        <v>843.81179999999995</v>
      </c>
      <c r="C28">
        <v>4385.7598999999991</v>
      </c>
      <c r="D28">
        <v>9296.5352000000003</v>
      </c>
      <c r="E28">
        <v>386.72680000000003</v>
      </c>
      <c r="F28">
        <v>14.02</v>
      </c>
      <c r="G28">
        <v>14926.8537</v>
      </c>
    </row>
    <row r="29" spans="1:7" x14ac:dyDescent="0.3">
      <c r="A29" s="11" t="s">
        <v>17</v>
      </c>
      <c r="B29">
        <v>3513.2304999999997</v>
      </c>
      <c r="C29">
        <v>3382.627</v>
      </c>
      <c r="D29">
        <v>22087.252400000001</v>
      </c>
      <c r="E29">
        <v>2847.4580000000001</v>
      </c>
      <c r="G29">
        <v>31830.567900000002</v>
      </c>
    </row>
    <row r="30" spans="1:7" x14ac:dyDescent="0.3">
      <c r="A30" s="9" t="s">
        <v>21</v>
      </c>
      <c r="B30">
        <v>6351.3148000000001</v>
      </c>
      <c r="C30">
        <v>14097.0263</v>
      </c>
      <c r="D30">
        <v>31907.880900000004</v>
      </c>
      <c r="E30">
        <v>26818.288</v>
      </c>
      <c r="F30">
        <v>6905.9148000000005</v>
      </c>
      <c r="G30">
        <v>86080.424800000008</v>
      </c>
    </row>
    <row r="31" spans="1:7" x14ac:dyDescent="0.3">
      <c r="A31" s="11" t="s">
        <v>19</v>
      </c>
      <c r="B31">
        <v>487.74079999999998</v>
      </c>
      <c r="C31">
        <v>361.91560000000004</v>
      </c>
      <c r="D31">
        <v>2101.7097999999996</v>
      </c>
      <c r="E31">
        <v>9492.3886000000002</v>
      </c>
      <c r="G31">
        <v>12443.754799999999</v>
      </c>
    </row>
    <row r="32" spans="1:7" x14ac:dyDescent="0.3">
      <c r="A32" s="11" t="s">
        <v>14</v>
      </c>
      <c r="B32">
        <v>1443.1612</v>
      </c>
      <c r="C32">
        <v>11530.274499999998</v>
      </c>
      <c r="D32">
        <v>12043.644900000001</v>
      </c>
      <c r="E32">
        <v>4838.9114</v>
      </c>
      <c r="G32">
        <v>29855.992000000002</v>
      </c>
    </row>
    <row r="33" spans="1:7" x14ac:dyDescent="0.3">
      <c r="A33" s="11" t="s">
        <v>5</v>
      </c>
      <c r="B33">
        <v>838.3424</v>
      </c>
      <c r="C33">
        <v>1196.0307999999998</v>
      </c>
      <c r="D33">
        <v>9408.3335999999999</v>
      </c>
      <c r="E33">
        <v>8010.0559999999996</v>
      </c>
      <c r="G33">
        <v>19452.7628</v>
      </c>
    </row>
    <row r="34" spans="1:7" x14ac:dyDescent="0.3">
      <c r="A34" s="11" t="s">
        <v>8</v>
      </c>
      <c r="B34">
        <v>1406.6905000000002</v>
      </c>
      <c r="C34">
        <v>29.501999999999995</v>
      </c>
      <c r="D34">
        <v>8344.0302000000011</v>
      </c>
      <c r="E34">
        <v>229.49</v>
      </c>
      <c r="G34">
        <v>10009.712700000002</v>
      </c>
    </row>
    <row r="35" spans="1:7" x14ac:dyDescent="0.3">
      <c r="A35" s="11" t="s">
        <v>17</v>
      </c>
      <c r="B35">
        <v>2175.3798999999999</v>
      </c>
      <c r="C35">
        <v>979.30340000000001</v>
      </c>
      <c r="D35">
        <v>10.1624</v>
      </c>
      <c r="E35">
        <v>4247.4420000000009</v>
      </c>
      <c r="F35">
        <v>6905.9148000000005</v>
      </c>
      <c r="G35">
        <v>14318.202500000001</v>
      </c>
    </row>
    <row r="36" spans="1:7" x14ac:dyDescent="0.3">
      <c r="A36" s="9" t="s">
        <v>20</v>
      </c>
      <c r="B36">
        <v>5150.1589000000004</v>
      </c>
      <c r="C36">
        <v>6707.8610000000008</v>
      </c>
      <c r="D36">
        <v>68219.158800000005</v>
      </c>
      <c r="E36">
        <v>2807.2837</v>
      </c>
      <c r="F36">
        <v>1286.1680000000001</v>
      </c>
      <c r="G36">
        <v>84170.630399999995</v>
      </c>
    </row>
    <row r="37" spans="1:7" x14ac:dyDescent="0.3">
      <c r="A37" s="11" t="s">
        <v>19</v>
      </c>
      <c r="B37">
        <v>560.85519999999997</v>
      </c>
      <c r="C37">
        <v>113.08200000000001</v>
      </c>
      <c r="D37">
        <v>595.38170000000002</v>
      </c>
      <c r="E37">
        <v>639.61359999999991</v>
      </c>
      <c r="G37">
        <v>1908.9324999999999</v>
      </c>
    </row>
    <row r="38" spans="1:7" x14ac:dyDescent="0.3">
      <c r="A38" s="11" t="s">
        <v>14</v>
      </c>
      <c r="B38">
        <v>983.06909999999993</v>
      </c>
      <c r="C38">
        <v>828.87860000000001</v>
      </c>
      <c r="D38">
        <v>34508.228999999999</v>
      </c>
      <c r="E38">
        <v>40.000199999999992</v>
      </c>
      <c r="G38">
        <v>36360.176899999999</v>
      </c>
    </row>
    <row r="39" spans="1:7" x14ac:dyDescent="0.3">
      <c r="A39" s="11" t="s">
        <v>5</v>
      </c>
      <c r="B39">
        <v>1754.1586000000002</v>
      </c>
      <c r="C39">
        <v>1584.653</v>
      </c>
      <c r="D39">
        <v>6362.4371999999994</v>
      </c>
      <c r="E39">
        <v>424.48250000000002</v>
      </c>
      <c r="G39">
        <v>10125.731299999999</v>
      </c>
    </row>
    <row r="40" spans="1:7" x14ac:dyDescent="0.3">
      <c r="A40" s="11" t="s">
        <v>8</v>
      </c>
      <c r="B40">
        <v>485.24000000000007</v>
      </c>
      <c r="C40">
        <v>1166.8933000000002</v>
      </c>
      <c r="D40">
        <v>1115.18</v>
      </c>
      <c r="E40">
        <v>512.33079999999995</v>
      </c>
      <c r="F40">
        <v>1218.94</v>
      </c>
      <c r="G40">
        <v>4498.5841</v>
      </c>
    </row>
    <row r="41" spans="1:7" x14ac:dyDescent="0.3">
      <c r="A41" s="11" t="s">
        <v>17</v>
      </c>
      <c r="B41">
        <v>1366.8359999999998</v>
      </c>
      <c r="C41">
        <v>3014.3541</v>
      </c>
      <c r="D41">
        <v>25637.930899999999</v>
      </c>
      <c r="E41">
        <v>1190.8566000000001</v>
      </c>
      <c r="F41">
        <v>67.227999999999994</v>
      </c>
      <c r="G41">
        <v>31277.205599999998</v>
      </c>
    </row>
    <row r="42" spans="1:7" x14ac:dyDescent="0.3">
      <c r="A42" s="9" t="s">
        <v>13</v>
      </c>
      <c r="B42">
        <v>16049.806299999998</v>
      </c>
      <c r="C42">
        <v>61179.227300000006</v>
      </c>
      <c r="D42">
        <v>21588.616099999999</v>
      </c>
      <c r="E42">
        <v>20619.863499999999</v>
      </c>
      <c r="F42">
        <v>1352.7764999999999</v>
      </c>
      <c r="G42">
        <v>120790.28969999999</v>
      </c>
    </row>
    <row r="43" spans="1:7" x14ac:dyDescent="0.3">
      <c r="A43" s="11" t="s">
        <v>19</v>
      </c>
      <c r="B43">
        <v>9.7153999999999989</v>
      </c>
      <c r="C43">
        <v>133.77379999999999</v>
      </c>
      <c r="D43">
        <v>4052.5843999999997</v>
      </c>
      <c r="E43">
        <v>5627.2627999999995</v>
      </c>
      <c r="F43">
        <v>151.8175</v>
      </c>
      <c r="G43">
        <v>9975.1538999999993</v>
      </c>
    </row>
    <row r="44" spans="1:7" x14ac:dyDescent="0.3">
      <c r="A44" s="11" t="s">
        <v>14</v>
      </c>
      <c r="B44">
        <v>6095.259</v>
      </c>
      <c r="C44">
        <v>7252.8144000000002</v>
      </c>
      <c r="D44">
        <v>1040.2330999999999</v>
      </c>
      <c r="E44">
        <v>4022.7568999999994</v>
      </c>
      <c r="F44">
        <v>818.66100000000006</v>
      </c>
      <c r="G44">
        <v>19229.724399999999</v>
      </c>
    </row>
    <row r="45" spans="1:7" x14ac:dyDescent="0.3">
      <c r="A45" s="11" t="s">
        <v>5</v>
      </c>
      <c r="B45">
        <v>6360.5892999999996</v>
      </c>
      <c r="C45">
        <v>14429.9411</v>
      </c>
      <c r="D45">
        <v>137.06639999999999</v>
      </c>
      <c r="E45">
        <v>6679.1190999999999</v>
      </c>
      <c r="G45">
        <v>27606.715899999999</v>
      </c>
    </row>
    <row r="46" spans="1:7" x14ac:dyDescent="0.3">
      <c r="A46" s="11" t="s">
        <v>8</v>
      </c>
      <c r="B46">
        <v>537.06799999999998</v>
      </c>
      <c r="C46">
        <v>39096.749900000003</v>
      </c>
      <c r="D46">
        <v>12662.267599999999</v>
      </c>
      <c r="E46">
        <v>3040.0550999999996</v>
      </c>
      <c r="F46">
        <v>126.45000000000002</v>
      </c>
      <c r="G46">
        <v>55462.590599999996</v>
      </c>
    </row>
    <row r="47" spans="1:7" x14ac:dyDescent="0.3">
      <c r="A47" s="11" t="s">
        <v>17</v>
      </c>
      <c r="B47">
        <v>3047.1745999999998</v>
      </c>
      <c r="C47">
        <v>265.94809999999995</v>
      </c>
      <c r="D47">
        <v>3696.4645999999998</v>
      </c>
      <c r="E47">
        <v>1250.6696000000002</v>
      </c>
      <c r="F47">
        <v>255.84800000000001</v>
      </c>
      <c r="G47">
        <v>8516.1049000000003</v>
      </c>
    </row>
    <row r="48" spans="1:7" x14ac:dyDescent="0.3">
      <c r="A48" s="9" t="s">
        <v>18</v>
      </c>
      <c r="B48">
        <v>7613.9437999999991</v>
      </c>
      <c r="C48">
        <v>6856.2319999999991</v>
      </c>
      <c r="D48">
        <v>20874.7706</v>
      </c>
      <c r="E48">
        <v>27226.537099999998</v>
      </c>
      <c r="F48">
        <v>1542.7530999999999</v>
      </c>
      <c r="G48">
        <v>64114.236599999997</v>
      </c>
    </row>
    <row r="49" spans="1:7" x14ac:dyDescent="0.3">
      <c r="A49" s="11" t="s">
        <v>19</v>
      </c>
      <c r="B49">
        <v>449.39480000000003</v>
      </c>
      <c r="C49">
        <v>1610.6852000000001</v>
      </c>
      <c r="D49">
        <v>2760.4294</v>
      </c>
      <c r="E49">
        <v>33.853600000000007</v>
      </c>
      <c r="F49">
        <v>898.79599999999994</v>
      </c>
      <c r="G49">
        <v>5753.1590000000006</v>
      </c>
    </row>
    <row r="50" spans="1:7" x14ac:dyDescent="0.3">
      <c r="A50" s="11" t="s">
        <v>14</v>
      </c>
      <c r="B50">
        <v>88.658799999999999</v>
      </c>
      <c r="C50">
        <v>444.1456</v>
      </c>
      <c r="D50">
        <v>111.3856</v>
      </c>
      <c r="E50">
        <v>405.63040000000001</v>
      </c>
      <c r="G50">
        <v>1049.8204000000001</v>
      </c>
    </row>
    <row r="51" spans="1:7" x14ac:dyDescent="0.3">
      <c r="A51" s="11" t="s">
        <v>5</v>
      </c>
      <c r="B51">
        <v>1639.0021999999997</v>
      </c>
      <c r="D51">
        <v>1404.11</v>
      </c>
      <c r="E51">
        <v>5852.1873999999989</v>
      </c>
      <c r="F51">
        <v>92.527500000000003</v>
      </c>
      <c r="G51">
        <v>8987.8270999999986</v>
      </c>
    </row>
    <row r="52" spans="1:7" x14ac:dyDescent="0.3">
      <c r="A52" s="11" t="s">
        <v>8</v>
      </c>
      <c r="B52">
        <v>1701.0655999999999</v>
      </c>
      <c r="C52">
        <v>4320.3979999999992</v>
      </c>
      <c r="D52">
        <v>15.112399999999999</v>
      </c>
      <c r="E52">
        <v>3239.4391999999998</v>
      </c>
      <c r="G52">
        <v>9276.015199999998</v>
      </c>
    </row>
    <row r="53" spans="1:7" x14ac:dyDescent="0.3">
      <c r="A53" s="11" t="s">
        <v>17</v>
      </c>
      <c r="B53">
        <v>3735.8223999999996</v>
      </c>
      <c r="C53">
        <v>481.00320000000005</v>
      </c>
      <c r="D53">
        <v>16583.733199999999</v>
      </c>
      <c r="E53">
        <v>17695.426499999998</v>
      </c>
      <c r="F53">
        <v>476.30840000000001</v>
      </c>
      <c r="G53">
        <v>38972.293700000002</v>
      </c>
    </row>
    <row r="54" spans="1:7" x14ac:dyDescent="0.3">
      <c r="A54" s="11" t="s">
        <v>51</v>
      </c>
      <c r="F54">
        <v>75.121199999999988</v>
      </c>
      <c r="G54">
        <v>75.121199999999988</v>
      </c>
    </row>
    <row r="55" spans="1:7" x14ac:dyDescent="0.3">
      <c r="A55" s="9" t="s">
        <v>29</v>
      </c>
      <c r="B55">
        <v>15062.0996</v>
      </c>
      <c r="C55">
        <v>10097.448199999999</v>
      </c>
      <c r="D55">
        <v>22104.2487</v>
      </c>
      <c r="E55">
        <v>31496.766899999995</v>
      </c>
      <c r="G55">
        <v>78760.563399999985</v>
      </c>
    </row>
    <row r="56" spans="1:7" x14ac:dyDescent="0.3">
      <c r="A56" s="11" t="s">
        <v>19</v>
      </c>
      <c r="B56">
        <v>5062.9089999999997</v>
      </c>
      <c r="C56">
        <v>685.56100000000004</v>
      </c>
      <c r="D56">
        <v>3251.136</v>
      </c>
      <c r="E56">
        <v>10256.411</v>
      </c>
      <c r="G56">
        <v>19256.017</v>
      </c>
    </row>
    <row r="57" spans="1:7" x14ac:dyDescent="0.3">
      <c r="A57" s="11" t="s">
        <v>14</v>
      </c>
      <c r="B57">
        <v>5076.2875000000004</v>
      </c>
      <c r="C57">
        <v>3092.4335999999998</v>
      </c>
      <c r="D57">
        <v>138.63</v>
      </c>
      <c r="E57">
        <v>7560.2532999999985</v>
      </c>
      <c r="G57">
        <v>15867.604399999998</v>
      </c>
    </row>
    <row r="58" spans="1:7" x14ac:dyDescent="0.3">
      <c r="A58" s="11" t="s">
        <v>5</v>
      </c>
      <c r="B58">
        <v>383.25420000000003</v>
      </c>
      <c r="C58">
        <v>338.14519999999999</v>
      </c>
      <c r="D58">
        <v>246.58619999999999</v>
      </c>
      <c r="E58">
        <v>9440.6437999999998</v>
      </c>
      <c r="G58">
        <v>10408.6294</v>
      </c>
    </row>
    <row r="59" spans="1:7" x14ac:dyDescent="0.3">
      <c r="A59" s="11" t="s">
        <v>8</v>
      </c>
      <c r="B59">
        <v>2839.9176000000002</v>
      </c>
      <c r="C59">
        <v>2163.1469999999999</v>
      </c>
      <c r="D59">
        <v>6633.3186999999998</v>
      </c>
      <c r="E59">
        <v>2155.7084</v>
      </c>
      <c r="G59">
        <v>13792.091699999999</v>
      </c>
    </row>
    <row r="60" spans="1:7" x14ac:dyDescent="0.3">
      <c r="A60" s="11" t="s">
        <v>17</v>
      </c>
      <c r="B60">
        <v>1699.7312999999999</v>
      </c>
      <c r="C60">
        <v>3818.1614</v>
      </c>
      <c r="D60">
        <v>11834.577799999999</v>
      </c>
      <c r="E60">
        <v>2083.7503999999999</v>
      </c>
      <c r="G60">
        <v>19436.2209</v>
      </c>
    </row>
    <row r="61" spans="1:7" x14ac:dyDescent="0.3">
      <c r="A61" s="9" t="s">
        <v>27</v>
      </c>
      <c r="B61">
        <v>538.94219999999996</v>
      </c>
      <c r="C61">
        <v>3959.5741000000003</v>
      </c>
      <c r="D61">
        <v>6498.4348</v>
      </c>
      <c r="E61">
        <v>7353.0956999999999</v>
      </c>
      <c r="G61">
        <v>18350.0468</v>
      </c>
    </row>
    <row r="62" spans="1:7" x14ac:dyDescent="0.3">
      <c r="A62" s="11" t="s">
        <v>19</v>
      </c>
      <c r="B62">
        <v>63.696600000000004</v>
      </c>
      <c r="C62">
        <v>2724.2415000000005</v>
      </c>
      <c r="D62">
        <v>5408.5676000000003</v>
      </c>
      <c r="E62">
        <v>2463.7511999999997</v>
      </c>
      <c r="G62">
        <v>10660.2569</v>
      </c>
    </row>
    <row r="63" spans="1:7" x14ac:dyDescent="0.3">
      <c r="A63" s="11" t="s">
        <v>14</v>
      </c>
      <c r="B63">
        <v>367.52</v>
      </c>
      <c r="C63">
        <v>497.98239999999998</v>
      </c>
      <c r="D63">
        <v>212.65159999999997</v>
      </c>
      <c r="E63">
        <v>1132.32</v>
      </c>
      <c r="G63">
        <v>2210.4740000000002</v>
      </c>
    </row>
    <row r="64" spans="1:7" x14ac:dyDescent="0.3">
      <c r="A64" s="11" t="s">
        <v>5</v>
      </c>
      <c r="C64">
        <v>60.870999999999995</v>
      </c>
      <c r="D64">
        <v>28.82</v>
      </c>
      <c r="E64">
        <v>56.133199999999995</v>
      </c>
      <c r="G64">
        <v>145.82419999999999</v>
      </c>
    </row>
    <row r="65" spans="1:7" x14ac:dyDescent="0.3">
      <c r="A65" s="11" t="s">
        <v>8</v>
      </c>
      <c r="C65">
        <v>596.65959999999995</v>
      </c>
      <c r="D65">
        <v>129.1088</v>
      </c>
      <c r="E65">
        <v>2378.6052</v>
      </c>
      <c r="G65">
        <v>3104.3735999999999</v>
      </c>
    </row>
    <row r="66" spans="1:7" x14ac:dyDescent="0.3">
      <c r="A66" s="11" t="s">
        <v>17</v>
      </c>
      <c r="B66">
        <v>107.7256</v>
      </c>
      <c r="C66">
        <v>79.819599999999994</v>
      </c>
      <c r="D66">
        <v>719.28680000000008</v>
      </c>
      <c r="E66">
        <v>1322.2860999999998</v>
      </c>
      <c r="G66">
        <v>2229.1180999999997</v>
      </c>
    </row>
    <row r="67" spans="1:7" x14ac:dyDescent="0.3">
      <c r="A67" s="9" t="s">
        <v>26</v>
      </c>
      <c r="B67">
        <v>3991.8021999999996</v>
      </c>
      <c r="C67">
        <v>36284.862799999995</v>
      </c>
      <c r="D67">
        <v>21313.6908</v>
      </c>
      <c r="E67">
        <v>10599.0272</v>
      </c>
      <c r="G67">
        <v>72189.383000000002</v>
      </c>
    </row>
    <row r="68" spans="1:7" x14ac:dyDescent="0.3">
      <c r="A68" s="11" t="s">
        <v>19</v>
      </c>
      <c r="B68">
        <v>79.90479999999998</v>
      </c>
      <c r="D68">
        <v>52.270700000000005</v>
      </c>
      <c r="G68">
        <v>132.1755</v>
      </c>
    </row>
    <row r="69" spans="1:7" x14ac:dyDescent="0.3">
      <c r="A69" s="11" t="s">
        <v>14</v>
      </c>
      <c r="C69">
        <v>16642.411199999999</v>
      </c>
      <c r="G69">
        <v>16642.411199999999</v>
      </c>
    </row>
    <row r="70" spans="1:7" x14ac:dyDescent="0.3">
      <c r="A70" s="11" t="s">
        <v>5</v>
      </c>
      <c r="B70">
        <v>238.75199999999998</v>
      </c>
      <c r="C70">
        <v>19341.070199999998</v>
      </c>
      <c r="D70">
        <v>20775.539399999998</v>
      </c>
      <c r="E70">
        <v>10464.6124</v>
      </c>
      <c r="G70">
        <v>50819.973999999995</v>
      </c>
    </row>
    <row r="71" spans="1:7" x14ac:dyDescent="0.3">
      <c r="A71" s="11" t="s">
        <v>8</v>
      </c>
      <c r="B71">
        <v>825.39800000000002</v>
      </c>
      <c r="C71">
        <v>301.38139999999999</v>
      </c>
      <c r="D71">
        <v>10.413</v>
      </c>
      <c r="E71">
        <v>130.63679999999999</v>
      </c>
      <c r="G71">
        <v>1267.8291999999999</v>
      </c>
    </row>
    <row r="72" spans="1:7" x14ac:dyDescent="0.3">
      <c r="A72" s="11" t="s">
        <v>17</v>
      </c>
      <c r="B72">
        <v>2847.7473999999997</v>
      </c>
      <c r="D72">
        <v>475.46770000000004</v>
      </c>
      <c r="E72">
        <v>3.7779999999999996</v>
      </c>
      <c r="G72">
        <v>3326.9930999999997</v>
      </c>
    </row>
    <row r="73" spans="1:7" x14ac:dyDescent="0.3">
      <c r="A73" s="9" t="s">
        <v>24</v>
      </c>
      <c r="B73">
        <v>14278.113600000001</v>
      </c>
      <c r="C73">
        <v>15766.073200000001</v>
      </c>
      <c r="D73">
        <v>38901.419900000001</v>
      </c>
      <c r="E73">
        <v>10683.4869</v>
      </c>
      <c r="F73">
        <v>16.66</v>
      </c>
      <c r="G73">
        <v>79645.753599999996</v>
      </c>
    </row>
    <row r="74" spans="1:7" x14ac:dyDescent="0.3">
      <c r="A74" s="11" t="s">
        <v>19</v>
      </c>
      <c r="B74">
        <v>387.72839999999997</v>
      </c>
      <c r="D74">
        <v>3558.0719999999997</v>
      </c>
      <c r="E74">
        <v>3012.0137999999997</v>
      </c>
      <c r="G74">
        <v>6957.8141999999989</v>
      </c>
    </row>
    <row r="75" spans="1:7" x14ac:dyDescent="0.3">
      <c r="A75" s="11" t="s">
        <v>14</v>
      </c>
      <c r="B75">
        <v>430.55000000000007</v>
      </c>
      <c r="C75">
        <v>2908.6691999999998</v>
      </c>
      <c r="D75">
        <v>31820.043599999997</v>
      </c>
      <c r="E75">
        <v>736.19919999999991</v>
      </c>
      <c r="G75">
        <v>35895.462</v>
      </c>
    </row>
    <row r="76" spans="1:7" x14ac:dyDescent="0.3">
      <c r="A76" s="11" t="s">
        <v>5</v>
      </c>
      <c r="B76">
        <v>12592.775900000001</v>
      </c>
      <c r="C76">
        <v>4132.3065999999999</v>
      </c>
      <c r="D76">
        <v>316.52480000000003</v>
      </c>
      <c r="E76">
        <v>207.49800000000002</v>
      </c>
      <c r="G76">
        <v>17249.105299999999</v>
      </c>
    </row>
    <row r="77" spans="1:7" x14ac:dyDescent="0.3">
      <c r="A77" s="11" t="s">
        <v>8</v>
      </c>
      <c r="B77">
        <v>786.60930000000008</v>
      </c>
      <c r="C77">
        <v>7501.9155999999994</v>
      </c>
      <c r="D77">
        <v>2770.0255999999999</v>
      </c>
      <c r="E77">
        <v>2729.7374999999997</v>
      </c>
      <c r="G77">
        <v>13788.288</v>
      </c>
    </row>
    <row r="78" spans="1:7" x14ac:dyDescent="0.3">
      <c r="A78" s="11" t="s">
        <v>17</v>
      </c>
      <c r="B78">
        <v>80.449999999999989</v>
      </c>
      <c r="C78">
        <v>1223.1818000000003</v>
      </c>
      <c r="D78">
        <v>436.75390000000004</v>
      </c>
      <c r="E78">
        <v>3998.0384000000004</v>
      </c>
      <c r="F78">
        <v>16.66</v>
      </c>
      <c r="G78">
        <v>5755.0841</v>
      </c>
    </row>
    <row r="79" spans="1:7" x14ac:dyDescent="0.3">
      <c r="A79" s="9" t="s">
        <v>11</v>
      </c>
      <c r="B79">
        <v>5695.6566999999995</v>
      </c>
      <c r="C79">
        <v>130.74239999999998</v>
      </c>
      <c r="D79">
        <v>455.70100000000002</v>
      </c>
      <c r="E79">
        <v>446.05959999999993</v>
      </c>
      <c r="F79">
        <v>43.0304</v>
      </c>
      <c r="G79">
        <v>6771.1900999999989</v>
      </c>
    </row>
    <row r="80" spans="1:7" x14ac:dyDescent="0.3">
      <c r="A80" s="11" t="s">
        <v>19</v>
      </c>
      <c r="B80">
        <v>132.07679999999999</v>
      </c>
      <c r="C80">
        <v>130.74239999999998</v>
      </c>
      <c r="G80">
        <v>262.81919999999997</v>
      </c>
    </row>
    <row r="81" spans="1:7" x14ac:dyDescent="0.3">
      <c r="A81" s="11" t="s">
        <v>14</v>
      </c>
      <c r="B81">
        <v>5124.8872000000001</v>
      </c>
      <c r="D81">
        <v>439.303</v>
      </c>
      <c r="E81">
        <v>357.75519999999995</v>
      </c>
      <c r="G81">
        <v>5921.9453999999996</v>
      </c>
    </row>
    <row r="82" spans="1:7" x14ac:dyDescent="0.3">
      <c r="A82" s="11" t="s">
        <v>5</v>
      </c>
      <c r="B82">
        <v>438.6927</v>
      </c>
      <c r="G82">
        <v>438.6927</v>
      </c>
    </row>
    <row r="83" spans="1:7" x14ac:dyDescent="0.3">
      <c r="A83" s="11" t="s">
        <v>8</v>
      </c>
      <c r="D83">
        <v>16.398</v>
      </c>
      <c r="E83">
        <v>88.304400000000001</v>
      </c>
      <c r="F83">
        <v>43.0304</v>
      </c>
      <c r="G83">
        <v>147.7328</v>
      </c>
    </row>
    <row r="84" spans="1:7" x14ac:dyDescent="0.3">
      <c r="A84" s="9" t="s">
        <v>16</v>
      </c>
      <c r="B84">
        <v>21750.561262000003</v>
      </c>
      <c r="C84">
        <v>42012.128400000001</v>
      </c>
      <c r="D84">
        <v>27109.998199999998</v>
      </c>
      <c r="E84">
        <v>27979.720600000001</v>
      </c>
      <c r="F84">
        <v>384.29400000000004</v>
      </c>
      <c r="G84">
        <v>119236.702462</v>
      </c>
    </row>
    <row r="85" spans="1:7" x14ac:dyDescent="0.3">
      <c r="A85" s="11" t="s">
        <v>19</v>
      </c>
      <c r="B85">
        <v>7963.5716000000011</v>
      </c>
      <c r="C85">
        <v>461.74619999999999</v>
      </c>
      <c r="D85">
        <v>4767.8601999999992</v>
      </c>
      <c r="E85">
        <v>14861.4722</v>
      </c>
      <c r="G85">
        <v>28054.6502</v>
      </c>
    </row>
    <row r="86" spans="1:7" x14ac:dyDescent="0.3">
      <c r="A86" s="11" t="s">
        <v>14</v>
      </c>
      <c r="B86">
        <v>1260.5085000000001</v>
      </c>
      <c r="C86">
        <v>10241.196</v>
      </c>
      <c r="D86">
        <v>12530.940999999999</v>
      </c>
      <c r="E86">
        <v>1356.9564</v>
      </c>
      <c r="G86">
        <v>25389.601899999998</v>
      </c>
    </row>
    <row r="87" spans="1:7" x14ac:dyDescent="0.3">
      <c r="A87" s="11" t="s">
        <v>5</v>
      </c>
      <c r="B87">
        <v>601.78679999999997</v>
      </c>
      <c r="C87">
        <v>8628.4181999999983</v>
      </c>
      <c r="D87">
        <v>5358.0166999999992</v>
      </c>
      <c r="E87">
        <v>5432.2950000000001</v>
      </c>
      <c r="G87">
        <v>20020.5167</v>
      </c>
    </row>
    <row r="88" spans="1:7" x14ac:dyDescent="0.3">
      <c r="A88" s="11" t="s">
        <v>8</v>
      </c>
      <c r="B88">
        <v>6299.1857620000001</v>
      </c>
      <c r="C88">
        <v>22165.9604</v>
      </c>
      <c r="D88">
        <v>2903.1755000000003</v>
      </c>
      <c r="E88">
        <v>6010.2435999999998</v>
      </c>
      <c r="F88">
        <v>88.831999999999994</v>
      </c>
      <c r="G88">
        <v>37467.397262000006</v>
      </c>
    </row>
    <row r="89" spans="1:7" x14ac:dyDescent="0.3">
      <c r="A89" s="11" t="s">
        <v>17</v>
      </c>
      <c r="B89">
        <v>5625.508600000001</v>
      </c>
      <c r="C89">
        <v>514.80759999999998</v>
      </c>
      <c r="D89">
        <v>1550.0047999999999</v>
      </c>
      <c r="E89">
        <v>318.7534</v>
      </c>
      <c r="G89">
        <v>8009.0744000000004</v>
      </c>
    </row>
    <row r="90" spans="1:7" x14ac:dyDescent="0.3">
      <c r="A90" s="11" t="s">
        <v>51</v>
      </c>
      <c r="F90">
        <v>295.46200000000005</v>
      </c>
      <c r="G90">
        <v>295.46200000000005</v>
      </c>
    </row>
    <row r="91" spans="1:7" x14ac:dyDescent="0.3">
      <c r="A91" s="9" t="s">
        <v>23</v>
      </c>
      <c r="B91">
        <v>41077.482599999988</v>
      </c>
      <c r="C91">
        <v>56246.561600000001</v>
      </c>
      <c r="D91">
        <v>35551.663699999997</v>
      </c>
      <c r="E91">
        <v>14032.223399999999</v>
      </c>
      <c r="F91">
        <v>1238.8828000000001</v>
      </c>
      <c r="G91">
        <v>148146.81409999999</v>
      </c>
    </row>
    <row r="92" spans="1:7" x14ac:dyDescent="0.3">
      <c r="A92" s="11" t="s">
        <v>19</v>
      </c>
      <c r="B92">
        <v>8199.8562000000002</v>
      </c>
      <c r="C92">
        <v>5934.2392</v>
      </c>
      <c r="D92">
        <v>1349.6018999999999</v>
      </c>
      <c r="E92">
        <v>485.00679999999994</v>
      </c>
      <c r="G92">
        <v>15968.704099999999</v>
      </c>
    </row>
    <row r="93" spans="1:7" x14ac:dyDescent="0.3">
      <c r="A93" s="11" t="s">
        <v>14</v>
      </c>
      <c r="B93">
        <v>2144.0217000000002</v>
      </c>
      <c r="C93">
        <v>15253.5368</v>
      </c>
      <c r="D93">
        <v>21587.090799999998</v>
      </c>
      <c r="E93">
        <v>1270.1908000000001</v>
      </c>
      <c r="G93">
        <v>40254.840099999994</v>
      </c>
    </row>
    <row r="94" spans="1:7" x14ac:dyDescent="0.3">
      <c r="A94" s="11" t="s">
        <v>5</v>
      </c>
      <c r="B94">
        <v>26013.773199999996</v>
      </c>
      <c r="C94">
        <v>28802.685600000004</v>
      </c>
      <c r="D94">
        <v>3516.9560000000001</v>
      </c>
      <c r="E94">
        <v>922.99479999999994</v>
      </c>
      <c r="F94">
        <v>1238.8828000000001</v>
      </c>
      <c r="G94">
        <v>60495.292399999998</v>
      </c>
    </row>
    <row r="95" spans="1:7" x14ac:dyDescent="0.3">
      <c r="A95" s="11" t="s">
        <v>8</v>
      </c>
      <c r="B95">
        <v>2711.2510000000002</v>
      </c>
      <c r="C95">
        <v>4748.6839999999993</v>
      </c>
      <c r="D95">
        <v>7037.3669</v>
      </c>
      <c r="E95">
        <v>5421.9322999999995</v>
      </c>
      <c r="G95">
        <v>19919.234199999999</v>
      </c>
    </row>
    <row r="96" spans="1:7" x14ac:dyDescent="0.3">
      <c r="A96" s="11" t="s">
        <v>17</v>
      </c>
      <c r="B96">
        <v>2008.5805</v>
      </c>
      <c r="C96">
        <v>1507.4159999999999</v>
      </c>
      <c r="D96">
        <v>2060.6480999999999</v>
      </c>
      <c r="E96">
        <v>5932.0986999999986</v>
      </c>
      <c r="G96">
        <v>11508.743299999998</v>
      </c>
    </row>
    <row r="97" spans="1:7" x14ac:dyDescent="0.3">
      <c r="A97" s="9" t="s">
        <v>41</v>
      </c>
      <c r="B97">
        <v>171750.79886199997</v>
      </c>
      <c r="C97">
        <v>319231.65950000001</v>
      </c>
      <c r="D97">
        <v>352762.94620000001</v>
      </c>
      <c r="E97">
        <v>272288.69619999989</v>
      </c>
      <c r="F97">
        <v>22772.828800000003</v>
      </c>
      <c r="G97">
        <v>1138806.9295620006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opLeftCell="A3" zoomScale="90" zoomScaleNormal="90" workbookViewId="0">
      <selection activeCell="E26" sqref="E26"/>
    </sheetView>
  </sheetViews>
  <sheetFormatPr defaultRowHeight="14.4" x14ac:dyDescent="0.3"/>
  <cols>
    <col min="1" max="1" width="22.88671875" customWidth="1"/>
    <col min="2" max="2" width="15.21875" customWidth="1"/>
    <col min="3" max="6" width="14.88671875" customWidth="1"/>
    <col min="7" max="7" width="23.88671875" customWidth="1"/>
    <col min="8" max="8" width="14.33203125" customWidth="1"/>
  </cols>
  <sheetData>
    <row r="1" spans="1:26" ht="33.9" customHeight="1" x14ac:dyDescent="0.6">
      <c r="A1" s="4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4" spans="1:26" x14ac:dyDescent="0.3">
      <c r="A4" s="2" t="s">
        <v>0</v>
      </c>
      <c r="B4" s="6" t="s">
        <v>30</v>
      </c>
      <c r="C4" s="6" t="s">
        <v>39</v>
      </c>
    </row>
    <row r="5" spans="1:26" x14ac:dyDescent="0.3">
      <c r="A5" s="1" t="s">
        <v>2</v>
      </c>
      <c r="B5" s="7">
        <f>SUMIFS(Total,State,A5)</f>
        <v>283640.56689999986</v>
      </c>
      <c r="C5" s="5">
        <f>COUNTIFS(State,A5)</f>
        <v>289</v>
      </c>
    </row>
    <row r="6" spans="1:26" x14ac:dyDescent="0.3">
      <c r="A6" s="1" t="s">
        <v>10</v>
      </c>
      <c r="B6" s="7">
        <f>SUMIFS(Total,State,A6)</f>
        <v>768723.21536199981</v>
      </c>
      <c r="C6" s="5">
        <f>COUNTIFS(State,A6)</f>
        <v>646</v>
      </c>
    </row>
    <row r="7" spans="1:26" x14ac:dyDescent="0.3">
      <c r="A7" s="1" t="s">
        <v>36</v>
      </c>
      <c r="B7" s="7">
        <f>SUMIFS(Total,State,A7)</f>
        <v>86443.147299999997</v>
      </c>
      <c r="C7" s="5">
        <f>COUNTIFS(State,A7)</f>
        <v>104</v>
      </c>
    </row>
    <row r="10" spans="1:26" x14ac:dyDescent="0.3">
      <c r="A10" s="2" t="s">
        <v>1</v>
      </c>
      <c r="B10" s="6" t="s">
        <v>30</v>
      </c>
      <c r="C10" s="6" t="s">
        <v>39</v>
      </c>
    </row>
    <row r="11" spans="1:26" x14ac:dyDescent="0.3">
      <c r="A11" s="1" t="s">
        <v>3</v>
      </c>
      <c r="B11" s="7">
        <f>SUMIFS(Total,Customer_Type,A11)</f>
        <v>272528.74299999984</v>
      </c>
      <c r="C11" s="5">
        <f>COUNTIFS(Customer_Type,A11)</f>
        <v>264</v>
      </c>
    </row>
    <row r="12" spans="1:26" x14ac:dyDescent="0.3">
      <c r="A12" s="1" t="s">
        <v>7</v>
      </c>
      <c r="B12" s="7">
        <f>SUMIFS(Total,Customer_Type,A12)</f>
        <v>191942.84669999999</v>
      </c>
      <c r="C12" s="5">
        <f>COUNTIFS(Customer_Type,A12)</f>
        <v>177</v>
      </c>
    </row>
    <row r="13" spans="1:26" x14ac:dyDescent="0.3">
      <c r="A13" s="1" t="s">
        <v>12</v>
      </c>
      <c r="B13" s="7">
        <f>SUMIFS(Total,Customer_Type,A13)</f>
        <v>285074.24880000018</v>
      </c>
      <c r="C13" s="5">
        <f>COUNTIFS(Customer_Type,A13)</f>
        <v>221</v>
      </c>
    </row>
    <row r="14" spans="1:26" x14ac:dyDescent="0.3">
      <c r="A14" s="1" t="s">
        <v>15</v>
      </c>
      <c r="B14" s="7">
        <f>SUMIFS(Total,Customer_Type,A14)</f>
        <v>389261.09106200002</v>
      </c>
      <c r="C14" s="5">
        <f>COUNTIFS(Customer_Type,A14)</f>
        <v>377</v>
      </c>
    </row>
    <row r="17" spans="1:7" x14ac:dyDescent="0.3">
      <c r="A17" s="2" t="s">
        <v>34</v>
      </c>
      <c r="B17" s="5">
        <f>COUNTIFS(Order_Quantity,"&gt;40")</f>
        <v>238</v>
      </c>
    </row>
    <row r="20" spans="1:7" x14ac:dyDescent="0.3">
      <c r="A20" s="2" t="s">
        <v>32</v>
      </c>
      <c r="B20" s="6" t="s">
        <v>30</v>
      </c>
      <c r="C20" s="6">
        <v>2013</v>
      </c>
      <c r="D20" s="6">
        <v>2014</v>
      </c>
      <c r="E20" s="6">
        <v>2015</v>
      </c>
      <c r="F20" s="6">
        <v>2016</v>
      </c>
      <c r="G20" s="6" t="s">
        <v>35</v>
      </c>
    </row>
    <row r="21" spans="1:7" x14ac:dyDescent="0.3">
      <c r="A21" s="1" t="s">
        <v>4</v>
      </c>
      <c r="B21" s="8">
        <f t="shared" ref="B21:B34" si="0">SUMIFS(Total,Account_Manager,A21)</f>
        <v>135493.75280000002</v>
      </c>
      <c r="C21" s="8">
        <f t="shared" ref="C21:F34" si="1">SUMIFS(Total,Account_Manager,$A21,Order_Year,C$20)</f>
        <v>8706.8624999999993</v>
      </c>
      <c r="D21" s="8">
        <f t="shared" si="1"/>
        <v>27899.607300000003</v>
      </c>
      <c r="E21" s="8">
        <f t="shared" si="1"/>
        <v>41877.791499999999</v>
      </c>
      <c r="F21" s="8">
        <f t="shared" si="1"/>
        <v>47802.912599999996</v>
      </c>
      <c r="G21" s="7"/>
    </row>
    <row r="22" spans="1:7" x14ac:dyDescent="0.3">
      <c r="A22" s="1" t="s">
        <v>11</v>
      </c>
      <c r="B22" s="8">
        <f t="shared" si="0"/>
        <v>6771.1900999999989</v>
      </c>
      <c r="C22" s="8">
        <f t="shared" si="1"/>
        <v>5695.6566999999995</v>
      </c>
      <c r="D22" s="8">
        <f t="shared" si="1"/>
        <v>130.74239999999998</v>
      </c>
      <c r="E22" s="8">
        <f t="shared" si="1"/>
        <v>455.70100000000002</v>
      </c>
      <c r="F22" s="8">
        <f t="shared" si="1"/>
        <v>446.05959999999993</v>
      </c>
      <c r="G22" s="7"/>
    </row>
    <row r="23" spans="1:7" x14ac:dyDescent="0.3">
      <c r="A23" s="1" t="s">
        <v>13</v>
      </c>
      <c r="B23" s="8">
        <f t="shared" si="0"/>
        <v>120790.28969999996</v>
      </c>
      <c r="C23" s="8">
        <f t="shared" si="1"/>
        <v>16049.806299999998</v>
      </c>
      <c r="D23" s="8">
        <f t="shared" si="1"/>
        <v>61179.227299999999</v>
      </c>
      <c r="E23" s="8">
        <f t="shared" si="1"/>
        <v>21588.616099999999</v>
      </c>
      <c r="F23" s="8">
        <f t="shared" si="1"/>
        <v>20619.863499999999</v>
      </c>
      <c r="G23" s="7"/>
    </row>
    <row r="24" spans="1:7" x14ac:dyDescent="0.3">
      <c r="A24" s="1" t="s">
        <v>16</v>
      </c>
      <c r="B24" s="8">
        <f t="shared" si="0"/>
        <v>119236.70246200009</v>
      </c>
      <c r="C24" s="8">
        <f t="shared" si="1"/>
        <v>21750.561262000003</v>
      </c>
      <c r="D24" s="8">
        <f t="shared" si="1"/>
        <v>42012.128400000001</v>
      </c>
      <c r="E24" s="8">
        <f t="shared" si="1"/>
        <v>27109.998199999995</v>
      </c>
      <c r="F24" s="8">
        <f t="shared" si="1"/>
        <v>27979.720600000004</v>
      </c>
      <c r="G24" s="7"/>
    </row>
    <row r="25" spans="1:7" x14ac:dyDescent="0.3">
      <c r="A25" s="1" t="s">
        <v>18</v>
      </c>
      <c r="B25" s="8">
        <f t="shared" si="0"/>
        <v>64114.236599999997</v>
      </c>
      <c r="C25" s="8">
        <f t="shared" si="1"/>
        <v>7613.9438</v>
      </c>
      <c r="D25" s="8">
        <f t="shared" si="1"/>
        <v>6856.232</v>
      </c>
      <c r="E25" s="8">
        <f t="shared" si="1"/>
        <v>20874.770600000003</v>
      </c>
      <c r="F25" s="8">
        <f t="shared" si="1"/>
        <v>27226.537100000001</v>
      </c>
      <c r="G25" s="7"/>
    </row>
    <row r="26" spans="1:7" x14ac:dyDescent="0.3">
      <c r="A26" s="1" t="s">
        <v>20</v>
      </c>
      <c r="B26" s="8">
        <f t="shared" si="0"/>
        <v>84170.630400000024</v>
      </c>
      <c r="C26" s="8">
        <f t="shared" si="1"/>
        <v>5150.1589000000004</v>
      </c>
      <c r="D26" s="8">
        <f t="shared" si="1"/>
        <v>6707.860999999999</v>
      </c>
      <c r="E26" s="8">
        <f t="shared" si="1"/>
        <v>68219.158800000005</v>
      </c>
      <c r="F26" s="8">
        <f t="shared" si="1"/>
        <v>2807.2836999999995</v>
      </c>
      <c r="G26" s="7"/>
    </row>
    <row r="27" spans="1:7" x14ac:dyDescent="0.3">
      <c r="A27" s="1" t="s">
        <v>21</v>
      </c>
      <c r="B27" s="8">
        <f t="shared" si="0"/>
        <v>86080.424799999993</v>
      </c>
      <c r="C27" s="8">
        <f t="shared" si="1"/>
        <v>6351.314800000001</v>
      </c>
      <c r="D27" s="8">
        <f t="shared" si="1"/>
        <v>14097.026299999998</v>
      </c>
      <c r="E27" s="8">
        <f t="shared" si="1"/>
        <v>31907.880899999996</v>
      </c>
      <c r="F27" s="8">
        <f t="shared" si="1"/>
        <v>26818.288</v>
      </c>
      <c r="G27" s="7"/>
    </row>
    <row r="28" spans="1:7" x14ac:dyDescent="0.3">
      <c r="A28" s="1" t="s">
        <v>22</v>
      </c>
      <c r="B28" s="8">
        <f t="shared" si="0"/>
        <v>55738.247800000005</v>
      </c>
      <c r="C28" s="8">
        <f t="shared" si="1"/>
        <v>5187.7125999999998</v>
      </c>
      <c r="D28" s="8">
        <f t="shared" si="1"/>
        <v>33803.7598</v>
      </c>
      <c r="E28" s="8">
        <f t="shared" si="1"/>
        <v>13366.221600000001</v>
      </c>
      <c r="F28" s="8">
        <f t="shared" si="1"/>
        <v>2722.2123000000001</v>
      </c>
      <c r="G28" s="7"/>
    </row>
    <row r="29" spans="1:7" x14ac:dyDescent="0.3">
      <c r="A29" s="1" t="s">
        <v>23</v>
      </c>
      <c r="B29" s="8">
        <f t="shared" si="0"/>
        <v>148146.81410000002</v>
      </c>
      <c r="C29" s="8">
        <f t="shared" si="1"/>
        <v>41077.482600000003</v>
      </c>
      <c r="D29" s="8">
        <f t="shared" si="1"/>
        <v>56246.561600000001</v>
      </c>
      <c r="E29" s="8">
        <f t="shared" si="1"/>
        <v>35551.66369999999</v>
      </c>
      <c r="F29" s="8">
        <f t="shared" si="1"/>
        <v>14032.223399999999</v>
      </c>
      <c r="G29" s="7"/>
    </row>
    <row r="30" spans="1:7" x14ac:dyDescent="0.3">
      <c r="A30" s="1" t="s">
        <v>24</v>
      </c>
      <c r="B30" s="8">
        <f t="shared" si="0"/>
        <v>79645.753599999996</v>
      </c>
      <c r="C30" s="8">
        <f t="shared" si="1"/>
        <v>14278.113600000002</v>
      </c>
      <c r="D30" s="8">
        <f t="shared" si="1"/>
        <v>15766.073200000001</v>
      </c>
      <c r="E30" s="8">
        <f t="shared" si="1"/>
        <v>38901.419900000001</v>
      </c>
      <c r="F30" s="8">
        <f t="shared" si="1"/>
        <v>10683.4869</v>
      </c>
      <c r="G30" s="7"/>
    </row>
    <row r="31" spans="1:7" x14ac:dyDescent="0.3">
      <c r="A31" s="1" t="s">
        <v>25</v>
      </c>
      <c r="B31" s="8">
        <f t="shared" si="0"/>
        <v>69318.893999999986</v>
      </c>
      <c r="C31" s="8">
        <f t="shared" si="1"/>
        <v>20296.341799999998</v>
      </c>
      <c r="D31" s="8">
        <f t="shared" si="1"/>
        <v>4190.5551000000005</v>
      </c>
      <c r="E31" s="8">
        <f t="shared" si="1"/>
        <v>2993.3495999999991</v>
      </c>
      <c r="F31" s="8">
        <f t="shared" si="1"/>
        <v>41701.218699999998</v>
      </c>
      <c r="G31" s="7"/>
    </row>
    <row r="32" spans="1:7" x14ac:dyDescent="0.3">
      <c r="A32" s="1" t="s">
        <v>26</v>
      </c>
      <c r="B32" s="8">
        <f t="shared" si="0"/>
        <v>72189.382999999987</v>
      </c>
      <c r="C32" s="8">
        <f t="shared" si="1"/>
        <v>3991.8021999999996</v>
      </c>
      <c r="D32" s="8">
        <f t="shared" si="1"/>
        <v>36284.862799999995</v>
      </c>
      <c r="E32" s="8">
        <f t="shared" si="1"/>
        <v>21313.6908</v>
      </c>
      <c r="F32" s="8">
        <f t="shared" si="1"/>
        <v>10599.0272</v>
      </c>
      <c r="G32" s="7"/>
    </row>
    <row r="33" spans="1:7" x14ac:dyDescent="0.3">
      <c r="A33" s="1" t="s">
        <v>27</v>
      </c>
      <c r="B33" s="8">
        <f t="shared" si="0"/>
        <v>18350.0468</v>
      </c>
      <c r="C33" s="8">
        <f t="shared" si="1"/>
        <v>538.94219999999996</v>
      </c>
      <c r="D33" s="8">
        <f t="shared" si="1"/>
        <v>3959.5741000000007</v>
      </c>
      <c r="E33" s="8">
        <f t="shared" si="1"/>
        <v>6498.4348000000009</v>
      </c>
      <c r="F33" s="8">
        <f t="shared" si="1"/>
        <v>7353.0956999999999</v>
      </c>
      <c r="G33" s="7"/>
    </row>
    <row r="34" spans="1:7" x14ac:dyDescent="0.3">
      <c r="A34" s="1" t="s">
        <v>29</v>
      </c>
      <c r="B34" s="8">
        <f t="shared" si="0"/>
        <v>78760.563399999999</v>
      </c>
      <c r="C34" s="8">
        <f t="shared" si="1"/>
        <v>15062.0996</v>
      </c>
      <c r="D34" s="8">
        <f t="shared" si="1"/>
        <v>10097.448199999999</v>
      </c>
      <c r="E34" s="8">
        <f t="shared" si="1"/>
        <v>22104.2487</v>
      </c>
      <c r="F34" s="8">
        <f t="shared" si="1"/>
        <v>31496.766900000002</v>
      </c>
      <c r="G34" s="7"/>
    </row>
    <row r="35" spans="1:7" x14ac:dyDescent="0.3">
      <c r="D35" t="s">
        <v>33</v>
      </c>
    </row>
    <row r="37" spans="1:7" x14ac:dyDescent="0.3">
      <c r="A37" s="2" t="s">
        <v>37</v>
      </c>
      <c r="B37" s="6" t="s">
        <v>10</v>
      </c>
      <c r="C37" s="6" t="s">
        <v>2</v>
      </c>
      <c r="D37" s="6" t="s">
        <v>36</v>
      </c>
      <c r="E37" s="6" t="s">
        <v>38</v>
      </c>
    </row>
    <row r="38" spans="1:7" x14ac:dyDescent="0.3">
      <c r="A38" s="9">
        <v>2013</v>
      </c>
      <c r="B38" s="5">
        <f t="shared" ref="B38:D42" si="2">COUNTIFS(Order_Year,$A38,State,B$37)</f>
        <v>138</v>
      </c>
      <c r="C38" s="5">
        <f t="shared" si="2"/>
        <v>66</v>
      </c>
      <c r="D38" s="5">
        <f t="shared" si="2"/>
        <v>17</v>
      </c>
      <c r="E38" s="5">
        <f>SUMIFS(Total,Order_Year,A38)</f>
        <v>171750.79886199994</v>
      </c>
    </row>
    <row r="39" spans="1:7" x14ac:dyDescent="0.3">
      <c r="A39" s="9">
        <v>2014</v>
      </c>
      <c r="B39" s="5">
        <f t="shared" si="2"/>
        <v>147</v>
      </c>
      <c r="C39" s="5">
        <f t="shared" si="2"/>
        <v>70</v>
      </c>
      <c r="D39" s="5">
        <f t="shared" si="2"/>
        <v>25</v>
      </c>
      <c r="E39" s="5">
        <f>SUMIFS(Total,Order_Year,A39)</f>
        <v>319231.65950000001</v>
      </c>
    </row>
    <row r="40" spans="1:7" x14ac:dyDescent="0.3">
      <c r="A40" s="9">
        <v>2015</v>
      </c>
      <c r="B40" s="5">
        <f t="shared" si="2"/>
        <v>162</v>
      </c>
      <c r="C40" s="5">
        <f t="shared" si="2"/>
        <v>89</v>
      </c>
      <c r="D40" s="5">
        <f t="shared" si="2"/>
        <v>27</v>
      </c>
      <c r="E40" s="5">
        <f>SUMIFS(Total,Order_Year,A40)</f>
        <v>352762.94619999995</v>
      </c>
    </row>
    <row r="41" spans="1:7" x14ac:dyDescent="0.3">
      <c r="A41" s="9">
        <v>2016</v>
      </c>
      <c r="B41" s="5">
        <f t="shared" si="2"/>
        <v>181</v>
      </c>
      <c r="C41" s="5">
        <f t="shared" si="2"/>
        <v>59</v>
      </c>
      <c r="D41" s="5">
        <f t="shared" si="2"/>
        <v>33</v>
      </c>
      <c r="E41" s="5">
        <f>SUMIFS(Total,Order_Year,A41)</f>
        <v>272288.69620000001</v>
      </c>
    </row>
    <row r="42" spans="1:7" x14ac:dyDescent="0.3">
      <c r="A42" s="9">
        <v>2017</v>
      </c>
      <c r="B42" s="5">
        <f t="shared" si="2"/>
        <v>18</v>
      </c>
      <c r="C42" s="5">
        <f t="shared" si="2"/>
        <v>5</v>
      </c>
      <c r="D42" s="5">
        <f t="shared" si="2"/>
        <v>2</v>
      </c>
      <c r="E42" s="5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Sales 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Siwach, Ashish Siwach</cp:lastModifiedBy>
  <dcterms:created xsi:type="dcterms:W3CDTF">2017-05-01T13:03:22Z</dcterms:created>
  <dcterms:modified xsi:type="dcterms:W3CDTF">2026-10-26T16:46:18Z</dcterms:modified>
</cp:coreProperties>
</file>